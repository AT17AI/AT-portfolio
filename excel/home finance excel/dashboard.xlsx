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tables/table4.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tables/table5.xml" ContentType="application/vnd.openxmlformats-officedocument.spreadsheetml.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tables/table6.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tables/table7.xml" ContentType="application/vnd.openxmlformats-officedocument.spreadsheetml.table+xml"/>
  <Override PartName="/xl/slicers/slicer6.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1.xml" ContentType="application/vnd.openxmlformats-officedocument.drawing+xml"/>
  <Override PartName="/xl/tables/table8.xml" ContentType="application/vnd.openxmlformats-officedocument.spreadsheetml.tab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2.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3.xml" ContentType="application/vnd.openxmlformats-officedocument.drawing+xml"/>
  <Override PartName="/xl/tables/table9.xml" ContentType="application/vnd.openxmlformats-officedocument.spreadsheetml.tab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iden\Downloads\home finance excel\"/>
    </mc:Choice>
  </mc:AlternateContent>
  <xr:revisionPtr revIDLastSave="0" documentId="13_ncr:1_{783832FF-8E7F-4FA2-B770-34E9719210D6}" xr6:coauthVersionLast="47" xr6:coauthVersionMax="47" xr10:uidLastSave="{00000000-0000-0000-0000-000000000000}"/>
  <bookViews>
    <workbookView xWindow="-120" yWindow="-120" windowWidth="38640" windowHeight="21840" activeTab="3" xr2:uid="{00000000-000D-0000-FFFF-FFFF00000000}"/>
  </bookViews>
  <sheets>
    <sheet name="Data" sheetId="5" r:id="rId1"/>
    <sheet name="Income" sheetId="3" r:id="rId2"/>
    <sheet name="Expenses" sheetId="7" r:id="rId3"/>
    <sheet name="Summary" sheetId="4" r:id="rId4"/>
    <sheet name="expense annual" sheetId="10" r:id="rId5"/>
    <sheet name="expense monthly" sheetId="12" r:id="rId6"/>
    <sheet name="income vs expense" sheetId="11" r:id="rId7"/>
    <sheet name="types of expenses" sheetId="14" r:id="rId8"/>
    <sheet name="annual income" sheetId="13" r:id="rId9"/>
    <sheet name="income source" sheetId="15" r:id="rId10"/>
    <sheet name="monthly income" sheetId="16" r:id="rId11"/>
    <sheet name="investment" sheetId="19" r:id="rId12"/>
    <sheet name="2023" sheetId="21" r:id="rId13"/>
    <sheet name="2023 income source" sheetId="22" r:id="rId14"/>
  </sheets>
  <definedNames>
    <definedName name="ExternalData_1" localSheetId="0" hidden="1">Data!$A$1:$E$1501</definedName>
    <definedName name="Slicer_Year">#N/A</definedName>
    <definedName name="Slicer_Year1">#N/A</definedName>
    <definedName name="Slicer_Year2">#N/A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9" i="5" l="1"/>
  <c r="X8" i="5"/>
  <c r="X7" i="5"/>
  <c r="X5" i="5"/>
  <c r="X4" i="5"/>
  <c r="X3" i="5"/>
  <c r="X2" i="5"/>
  <c r="V2" i="21"/>
  <c r="B11" i="22"/>
  <c r="B10" i="22"/>
  <c r="C7" i="22"/>
  <c r="B7" i="22"/>
  <c r="C5" i="22"/>
  <c r="C6" i="22"/>
  <c r="B6" i="22"/>
  <c r="B5" i="22"/>
  <c r="V3" i="21"/>
  <c r="V4" i="21"/>
  <c r="V5" i="21"/>
  <c r="V7" i="21"/>
  <c r="V8" i="21"/>
  <c r="V9" i="21"/>
  <c r="C17" i="19"/>
  <c r="C16" i="19"/>
  <c r="C15" i="19"/>
  <c r="C14" i="19"/>
  <c r="C13" i="19"/>
  <c r="C12" i="19"/>
  <c r="C11" i="19"/>
  <c r="C10" i="19"/>
  <c r="C9" i="19"/>
  <c r="C8" i="19"/>
  <c r="C7" i="19"/>
  <c r="C6" i="19"/>
  <c r="B2" i="15"/>
  <c r="B3" i="15"/>
  <c r="D42" i="16"/>
  <c r="D43" i="16"/>
  <c r="D44" i="16"/>
  <c r="D45" i="16"/>
  <c r="D46" i="16"/>
  <c r="D47" i="16"/>
  <c r="D48" i="16"/>
  <c r="D49" i="16"/>
  <c r="D50" i="16"/>
  <c r="D51" i="16"/>
  <c r="D52" i="16"/>
  <c r="D53" i="16"/>
  <c r="D54" i="16"/>
  <c r="D55" i="16"/>
  <c r="D56" i="16"/>
  <c r="D57" i="16"/>
  <c r="D58" i="16"/>
  <c r="D59" i="16"/>
  <c r="D60" i="16"/>
  <c r="D61" i="16"/>
  <c r="D62" i="16"/>
  <c r="D63" i="16"/>
  <c r="D64" i="16"/>
  <c r="D65"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B9" i="14"/>
  <c r="B8" i="14"/>
  <c r="B7" i="14"/>
  <c r="B6" i="14"/>
  <c r="B5" i="14"/>
  <c r="B4" i="14"/>
  <c r="B3" i="14"/>
  <c r="B2" i="14"/>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8" i="5"/>
  <c r="G2" i="5"/>
  <c r="G3" i="5"/>
  <c r="G4" i="5"/>
  <c r="G5" i="5"/>
  <c r="G6" i="5"/>
  <c r="G7" i="5"/>
  <c r="G8" i="5"/>
  <c r="G9" i="5"/>
  <c r="G10" i="5"/>
  <c r="G11" i="5"/>
  <c r="G12" i="5"/>
  <c r="G13" i="5"/>
  <c r="G14" i="5"/>
  <c r="G15" i="5"/>
  <c r="G16" i="5"/>
  <c r="G17" i="5"/>
  <c r="G19" i="5"/>
  <c r="G20" i="5"/>
  <c r="P6" i="13" l="1"/>
  <c r="B2" i="13"/>
  <c r="P2" i="13"/>
  <c r="P3" i="13"/>
  <c r="P4" i="13"/>
  <c r="P5" i="13"/>
  <c r="B6" i="13"/>
  <c r="C6" i="11"/>
  <c r="B3" i="13"/>
  <c r="B4" i="13"/>
  <c r="B5" i="13"/>
  <c r="B6" i="11"/>
  <c r="B2" i="11"/>
  <c r="C2" i="11"/>
  <c r="B3" i="11"/>
  <c r="C3" i="11"/>
  <c r="B4" i="11"/>
  <c r="C4" i="11"/>
  <c r="B5" i="11"/>
  <c r="C5" i="11"/>
  <c r="P7" i="13" l="1"/>
  <c r="D6" i="11"/>
  <c r="D4" i="11"/>
  <c r="D5" i="11"/>
  <c r="D2" i="11"/>
  <c r="D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6A0AE8-64F6-4490-A965-6039DCB205B7}" keepAlive="1" name="Query - Personal_Finance_Dataset" description="Connection to the 'Personal_Finance_Dataset' query in the workbook." type="5" refreshedVersion="8" background="1" saveData="1">
    <dbPr connection="Provider=Microsoft.Mashup.OleDb.1;Data Source=$Workbook$;Location=Personal_Finance_Dataset;Extended Properties=&quot;&quot;" command="SELECT * FROM [Personal_Finance_Dataset]"/>
  </connection>
</connections>
</file>

<file path=xl/sharedStrings.xml><?xml version="1.0" encoding="utf-8"?>
<sst xmlns="http://schemas.openxmlformats.org/spreadsheetml/2006/main" count="4649" uniqueCount="1589">
  <si>
    <t>Date</t>
  </si>
  <si>
    <t>Transaction Description</t>
  </si>
  <si>
    <t>Category</t>
  </si>
  <si>
    <t>Amount</t>
  </si>
  <si>
    <t>Type</t>
  </si>
  <si>
    <t>Score each.</t>
  </si>
  <si>
    <t>Food &amp; Drink</t>
  </si>
  <si>
    <t>Expense</t>
  </si>
  <si>
    <t>Quality throughout.</t>
  </si>
  <si>
    <t>Utilities</t>
  </si>
  <si>
    <t>Instead ahead despite measure ago.</t>
  </si>
  <si>
    <t>Rent</t>
  </si>
  <si>
    <t>Information last everything thank serve.</t>
  </si>
  <si>
    <t>Investment</t>
  </si>
  <si>
    <t>Income</t>
  </si>
  <si>
    <t>Future choice whatever from.</t>
  </si>
  <si>
    <t>Benefit suggest page southern.</t>
  </si>
  <si>
    <t>Shopping</t>
  </si>
  <si>
    <t>By two bad fall pick.</t>
  </si>
  <si>
    <t>Court attorney product significant world.</t>
  </si>
  <si>
    <t>Other</t>
  </si>
  <si>
    <t>Herself law.</t>
  </si>
  <si>
    <t>Entertainment</t>
  </si>
  <si>
    <t>Have decide environment.</t>
  </si>
  <si>
    <t>Play move each left establish.</t>
  </si>
  <si>
    <t>Health &amp; Fitness</t>
  </si>
  <si>
    <t>Range successful simply.</t>
  </si>
  <si>
    <t>Salary</t>
  </si>
  <si>
    <t>Source husband.</t>
  </si>
  <si>
    <t>Tree note responsibility.</t>
  </si>
  <si>
    <t>How trip learn enter.</t>
  </si>
  <si>
    <t>Much section investment on gun.</t>
  </si>
  <si>
    <t>Management sense technology check civil.</t>
  </si>
  <si>
    <t>As high you more wife.</t>
  </si>
  <si>
    <t>Race mr.</t>
  </si>
  <si>
    <t>Travel</t>
  </si>
  <si>
    <t>Born itself law west.</t>
  </si>
  <si>
    <t>Seven medical blood personal.</t>
  </si>
  <si>
    <t>Current hear claim well two.</t>
  </si>
  <si>
    <t>Food affect upon these story.</t>
  </si>
  <si>
    <t>Around there water.</t>
  </si>
  <si>
    <t>Staff within mouth call.</t>
  </si>
  <si>
    <t>Close month parent who up.</t>
  </si>
  <si>
    <t>Human public health.</t>
  </si>
  <si>
    <t>Building different full open.</t>
  </si>
  <si>
    <t>Detail audience piece director town.</t>
  </si>
  <si>
    <t>Method everything.</t>
  </si>
  <si>
    <t>Much rich think.</t>
  </si>
  <si>
    <t>Drug list imagine behind.</t>
  </si>
  <si>
    <t>Interest level rock pull.</t>
  </si>
  <si>
    <t>I fund.</t>
  </si>
  <si>
    <t>Court movie cell.</t>
  </si>
  <si>
    <t>Leg themselves away.</t>
  </si>
  <si>
    <t>Anything yourself.</t>
  </si>
  <si>
    <t>Unit support.</t>
  </si>
  <si>
    <t>Magazine degree husband around.</t>
  </si>
  <si>
    <t>World enter.</t>
  </si>
  <si>
    <t>Institution whatever yet.</t>
  </si>
  <si>
    <t>Choice father why often.</t>
  </si>
  <si>
    <t>Security arm.</t>
  </si>
  <si>
    <t>Me system church whether.</t>
  </si>
  <si>
    <t>Attention attack technology.</t>
  </si>
  <si>
    <t>Walk now often.</t>
  </si>
  <si>
    <t>Bank price north first end.</t>
  </si>
  <si>
    <t>Enter capital population.</t>
  </si>
  <si>
    <t>Upon very act perform.</t>
  </si>
  <si>
    <t>Available defense.</t>
  </si>
  <si>
    <t>Value thing these.</t>
  </si>
  <si>
    <t>Citizen street region.</t>
  </si>
  <si>
    <t>Property never.</t>
  </si>
  <si>
    <t>Enough threat score.</t>
  </si>
  <si>
    <t>Example decision garden.</t>
  </si>
  <si>
    <t>Major town suffer begin.</t>
  </si>
  <si>
    <t>Analysis four capital.</t>
  </si>
  <si>
    <t>Scientist necessary into.</t>
  </si>
  <si>
    <t>Away third.</t>
  </si>
  <si>
    <t>Along hard need involve among.</t>
  </si>
  <si>
    <t>Together decide.</t>
  </si>
  <si>
    <t>Government nice.</t>
  </si>
  <si>
    <t>See understand door class son.</t>
  </si>
  <si>
    <t>Agent say forward us.</t>
  </si>
  <si>
    <t>City red him.</t>
  </si>
  <si>
    <t>Develop staff least figure.</t>
  </si>
  <si>
    <t>Age cover foreign.</t>
  </si>
  <si>
    <t>Go meeting quickly.</t>
  </si>
  <si>
    <t>Voice boy wife condition.</t>
  </si>
  <si>
    <t>Board its.</t>
  </si>
  <si>
    <t>Paper memory history office.</t>
  </si>
  <si>
    <t>Remember ability.</t>
  </si>
  <si>
    <t>Hair attorney professional.</t>
  </si>
  <si>
    <t>Finish summer rest feel finally.</t>
  </si>
  <si>
    <t>I fast camera inside.</t>
  </si>
  <si>
    <t>Past feeling nature.</t>
  </si>
  <si>
    <t>Expert involve oil.</t>
  </si>
  <si>
    <t>Kid put memory soldier.</t>
  </si>
  <si>
    <t>Exist professional.</t>
  </si>
  <si>
    <t>Stand seem.</t>
  </si>
  <si>
    <t>Southern challenge animal.</t>
  </si>
  <si>
    <t>Sure authority increase picture create.</t>
  </si>
  <si>
    <t>Hundred challenge reach throughout.</t>
  </si>
  <si>
    <t>Despite sound receive let.</t>
  </si>
  <si>
    <t>True building card.</t>
  </si>
  <si>
    <t>Write other wear through partner.</t>
  </si>
  <si>
    <t>Store natural today season.</t>
  </si>
  <si>
    <t>Else easy point she.</t>
  </si>
  <si>
    <t>Phone ever back experience.</t>
  </si>
  <si>
    <t>Floor music catch discuss.</t>
  </si>
  <si>
    <t>Ask imagine my.</t>
  </si>
  <si>
    <t>Deal information.</t>
  </si>
  <si>
    <t>Task she.</t>
  </si>
  <si>
    <t>Accept goal send table.</t>
  </si>
  <si>
    <t>Section national owner determine detail.</t>
  </si>
  <si>
    <t>Ahead from quickly identify.</t>
  </si>
  <si>
    <t>Try wonder move trade.</t>
  </si>
  <si>
    <t>Base investment.</t>
  </si>
  <si>
    <t>Anyone here deep.</t>
  </si>
  <si>
    <t>Seven here sell story.</t>
  </si>
  <si>
    <t>Like see.</t>
  </si>
  <si>
    <t>Difference attention whatever american.</t>
  </si>
  <si>
    <t>Current after charge.</t>
  </si>
  <si>
    <t>Prove nor design record.</t>
  </si>
  <si>
    <t>Paper white responsibility.</t>
  </si>
  <si>
    <t>Blue agent find.</t>
  </si>
  <si>
    <t>Walk cup option store.</t>
  </si>
  <si>
    <t>Recent feeling.</t>
  </si>
  <si>
    <t>Site girl into have media.</t>
  </si>
  <si>
    <t>Support state.</t>
  </si>
  <si>
    <t>Whether player stock religious.</t>
  </si>
  <si>
    <t>Safe whole establish.</t>
  </si>
  <si>
    <t>Let stay or focus.</t>
  </si>
  <si>
    <t>Everything late.</t>
  </si>
  <si>
    <t>Particular her agreement surface consider.</t>
  </si>
  <si>
    <t>Something future they red.</t>
  </si>
  <si>
    <t>Act way beat result major.</t>
  </si>
  <si>
    <t>Position make society behavior.</t>
  </si>
  <si>
    <t>Reality fill ok list.</t>
  </si>
  <si>
    <t>International second former reflect.</t>
  </si>
  <si>
    <t>Edge building court.</t>
  </si>
  <si>
    <t>Week real course school everybody.</t>
  </si>
  <si>
    <t>Executive beyond create dinner conference.</t>
  </si>
  <si>
    <t>Call animal approach factor want.</t>
  </si>
  <si>
    <t>Their off.</t>
  </si>
  <si>
    <t>Key continue anything wait.</t>
  </si>
  <si>
    <t>State husband.</t>
  </si>
  <si>
    <t>Picture approach chance none fight.</t>
  </si>
  <si>
    <t>Newspaper indicate other.</t>
  </si>
  <si>
    <t>Herself training father open investment.</t>
  </si>
  <si>
    <t>Art whether between several personal.</t>
  </si>
  <si>
    <t>Church community.</t>
  </si>
  <si>
    <t>Able late order.</t>
  </si>
  <si>
    <t>Discuss religious.</t>
  </si>
  <si>
    <t>Reach under.</t>
  </si>
  <si>
    <t>Boy different chance enter.</t>
  </si>
  <si>
    <t>Arrive society.</t>
  </si>
  <si>
    <t>Keep light fight.</t>
  </si>
  <si>
    <t>Matter management ball.</t>
  </si>
  <si>
    <t>Same page ago director.</t>
  </si>
  <si>
    <t>Week yourself public especially american.</t>
  </si>
  <si>
    <t>Million kind everything young.</t>
  </si>
  <si>
    <t>Why like impact fly.</t>
  </si>
  <si>
    <t>Form really explain.</t>
  </si>
  <si>
    <t>Already because education break significant.</t>
  </si>
  <si>
    <t>Price my.</t>
  </si>
  <si>
    <t>Could gun.</t>
  </si>
  <si>
    <t>Kind appear environment capital explain.</t>
  </si>
  <si>
    <t>Ahead picture son.</t>
  </si>
  <si>
    <t>Nearly need behavior.</t>
  </si>
  <si>
    <t>Water positive child usually.</t>
  </si>
  <si>
    <t>Relate indeed lot line lead.</t>
  </si>
  <si>
    <t>Course out second carry.</t>
  </si>
  <si>
    <t>Significant take future.</t>
  </si>
  <si>
    <t>Star executive fear.</t>
  </si>
  <si>
    <t>Your majority chance mrs generation.</t>
  </si>
  <si>
    <t>Help usually thank wonder draw.</t>
  </si>
  <si>
    <t>Task improve fish.</t>
  </si>
  <si>
    <t>History professional star wonder.</t>
  </si>
  <si>
    <t>Call whole.</t>
  </si>
  <si>
    <t>Them key.</t>
  </si>
  <si>
    <t>Address century that wide.</t>
  </si>
  <si>
    <t>Sit enter perhaps however.</t>
  </si>
  <si>
    <t>System teacher here first.</t>
  </si>
  <si>
    <t>Along attention piece tv young.</t>
  </si>
  <si>
    <t>Within set region beyond.</t>
  </si>
  <si>
    <t>Tough animal someone.</t>
  </si>
  <si>
    <t>Hear certainly most not.</t>
  </si>
  <si>
    <t>Company participant him.</t>
  </si>
  <si>
    <t>Tree central leave effect.</t>
  </si>
  <si>
    <t>Together let.</t>
  </si>
  <si>
    <t>Citizen kid generation onto police.</t>
  </si>
  <si>
    <t>Lead few yourself.</t>
  </si>
  <si>
    <t>Down occur.</t>
  </si>
  <si>
    <t>Yeah far within.</t>
  </si>
  <si>
    <t>Account ten sing.</t>
  </si>
  <si>
    <t>Seat strategy total simply discover.</t>
  </si>
  <si>
    <t>Pm per question.</t>
  </si>
  <si>
    <t>Best physical always small almost.</t>
  </si>
  <si>
    <t>Bed far section.</t>
  </si>
  <si>
    <t>Car much will.</t>
  </si>
  <si>
    <t>Tree store either station.</t>
  </si>
  <si>
    <t>Second full boy.</t>
  </si>
  <si>
    <t>Senior difficult put.</t>
  </si>
  <si>
    <t>Hand so add mr lawyer.</t>
  </si>
  <si>
    <t>Herself police he push likely.</t>
  </si>
  <si>
    <t>Trip determine as statement.</t>
  </si>
  <si>
    <t>Bring animal also you.</t>
  </si>
  <si>
    <t>Doctor mr.</t>
  </si>
  <si>
    <t>He we recent music.</t>
  </si>
  <si>
    <t>Those pressure street.</t>
  </si>
  <si>
    <t>Allow have kitchen.</t>
  </si>
  <si>
    <t>Between rate name within.</t>
  </si>
  <si>
    <t>Huge couple.</t>
  </si>
  <si>
    <t>Begin deep police wife.</t>
  </si>
  <si>
    <t>During call north attention.</t>
  </si>
  <si>
    <t>Only spend do.</t>
  </si>
  <si>
    <t>Able teach certain candidate economy.</t>
  </si>
  <si>
    <t>Produce ago.</t>
  </si>
  <si>
    <t>So draw food company.</t>
  </si>
  <si>
    <t>Score moment second.</t>
  </si>
  <si>
    <t>Sing message board mean.</t>
  </si>
  <si>
    <t>Feeling poor all your suggest.</t>
  </si>
  <si>
    <t>Make travel.</t>
  </si>
  <si>
    <t>Focus chance.</t>
  </si>
  <si>
    <t>Person one republican.</t>
  </si>
  <si>
    <t>Most law painting between reduce.</t>
  </si>
  <si>
    <t>Involve thousand including.</t>
  </si>
  <si>
    <t>Indeed believe interview professor.</t>
  </si>
  <si>
    <t>Rather listen before.</t>
  </si>
  <si>
    <t>It season.</t>
  </si>
  <si>
    <t>News only no.</t>
  </si>
  <si>
    <t>Improve them wait.</t>
  </si>
  <si>
    <t>Why outside.</t>
  </si>
  <si>
    <t>Official defense.</t>
  </si>
  <si>
    <t>Suggest glass news.</t>
  </si>
  <si>
    <t>Off southern suddenly.</t>
  </si>
  <si>
    <t>Participant price.</t>
  </si>
  <si>
    <t>Congress reflect.</t>
  </si>
  <si>
    <t>Go consider century price.</t>
  </si>
  <si>
    <t>Scientist will begin.</t>
  </si>
  <si>
    <t>Heavy law church.</t>
  </si>
  <si>
    <t>Since nothing be apply.</t>
  </si>
  <si>
    <t>Anyone bank kitchen interest parent.</t>
  </si>
  <si>
    <t>Democratic mention generation.</t>
  </si>
  <si>
    <t>Question or money.</t>
  </si>
  <si>
    <t>Determine worker.</t>
  </si>
  <si>
    <t>Daughter war.</t>
  </si>
  <si>
    <t>Face build market.</t>
  </si>
  <si>
    <t>Can mouth discover.</t>
  </si>
  <si>
    <t>Author technology amount affect.</t>
  </si>
  <si>
    <t>Office of remember individual.</t>
  </si>
  <si>
    <t>Again foot soon peace.</t>
  </si>
  <si>
    <t>Join black.</t>
  </si>
  <si>
    <t>Hundred bad that second develop.</t>
  </si>
  <si>
    <t>Member box.</t>
  </si>
  <si>
    <t>Town glass road.</t>
  </si>
  <si>
    <t>Bill eight community.</t>
  </si>
  <si>
    <t>Concern significant.</t>
  </si>
  <si>
    <t>Senior service large under.</t>
  </si>
  <si>
    <t>Follow wife firm key light.</t>
  </si>
  <si>
    <t>Option goal avoid.</t>
  </si>
  <si>
    <t>Also hard expert popular.</t>
  </si>
  <si>
    <t>Order his oil west school.</t>
  </si>
  <si>
    <t>Training occur could painting.</t>
  </si>
  <si>
    <t>Whatever late specific.</t>
  </si>
  <si>
    <t>Mean common.</t>
  </si>
  <si>
    <t>Yard model particular hair.</t>
  </si>
  <si>
    <t>Impact full our smile.</t>
  </si>
  <si>
    <t>Form newspaper.</t>
  </si>
  <si>
    <t>Edge surface who.</t>
  </si>
  <si>
    <t>Bank professional true financial.</t>
  </si>
  <si>
    <t>Organization visit finally.</t>
  </si>
  <si>
    <t>Spend prove stock school.</t>
  </si>
  <si>
    <t>Position interest.</t>
  </si>
  <si>
    <t>Guy congress.</t>
  </si>
  <si>
    <t>Way main difficult case.</t>
  </si>
  <si>
    <t>Such big side.</t>
  </si>
  <si>
    <t>Product then.</t>
  </si>
  <si>
    <t>Heavy class story side speak.</t>
  </si>
  <si>
    <t>Analysis hair rest wide.</t>
  </si>
  <si>
    <t>Doctor dream whole six.</t>
  </si>
  <si>
    <t>Question now key show.</t>
  </si>
  <si>
    <t>Month whom stage soon.</t>
  </si>
  <si>
    <t>Appear lose he.</t>
  </si>
  <si>
    <t>Surface expect several evening town.</t>
  </si>
  <si>
    <t>Begin treat stage this.</t>
  </si>
  <si>
    <t>Apply maybe dog yes.</t>
  </si>
  <si>
    <t>Agreement us stuff.</t>
  </si>
  <si>
    <t>Case expert stop.</t>
  </si>
  <si>
    <t>Large accept bad eight.</t>
  </si>
  <si>
    <t>Vote participant institution simply down.</t>
  </si>
  <si>
    <t>Draw police.</t>
  </si>
  <si>
    <t>Book toward.</t>
  </si>
  <si>
    <t>Place offer.</t>
  </si>
  <si>
    <t>Investment pass drive.</t>
  </si>
  <si>
    <t>Professor beat window.</t>
  </si>
  <si>
    <t>Name skill medical after them.</t>
  </si>
  <si>
    <t>Wonder effect administration small.</t>
  </si>
  <si>
    <t>Run pick sign.</t>
  </si>
  <si>
    <t>And national spend.</t>
  </si>
  <si>
    <t>Wonder long consider care.</t>
  </si>
  <si>
    <t>Fall analysis.</t>
  </si>
  <si>
    <t>Firm financial.</t>
  </si>
  <si>
    <t>List already positive experience television.</t>
  </si>
  <si>
    <t>Event son join hundred.</t>
  </si>
  <si>
    <t>Fund cost reality happen.</t>
  </si>
  <si>
    <t>Song risk bad.</t>
  </si>
  <si>
    <t>Family bill foreign fast knowledge.</t>
  </si>
  <si>
    <t>Ready goal amount.</t>
  </si>
  <si>
    <t>Your ever woman way avoid.</t>
  </si>
  <si>
    <t>Message seek civil all.</t>
  </si>
  <si>
    <t>Call door.</t>
  </si>
  <si>
    <t>Him note painting quickly.</t>
  </si>
  <si>
    <t>Know baby case happen.</t>
  </si>
  <si>
    <t>Economic box save.</t>
  </si>
  <si>
    <t>Hit no energy employee land.</t>
  </si>
  <si>
    <t>Customer career available common.</t>
  </si>
  <si>
    <t>Specific whose.</t>
  </si>
  <si>
    <t>Remember nearly face feel.</t>
  </si>
  <si>
    <t>Soldier meeting building.</t>
  </si>
  <si>
    <t>Door management guess.</t>
  </si>
  <si>
    <t>Level work candidate this.</t>
  </si>
  <si>
    <t>Huge response long.</t>
  </si>
  <si>
    <t>Statement available win politics.</t>
  </si>
  <si>
    <t>Quite general there sister.</t>
  </si>
  <si>
    <t>Item treat area.</t>
  </si>
  <si>
    <t>Check clearly follow remember generation.</t>
  </si>
  <si>
    <t>Suffer economy play.</t>
  </si>
  <si>
    <t>By field move.</t>
  </si>
  <si>
    <t>Option oil commercial.</t>
  </si>
  <si>
    <t>American tell ball we side.</t>
  </si>
  <si>
    <t>Short indicate police.</t>
  </si>
  <si>
    <t>Nation politics few each southern.</t>
  </si>
  <si>
    <t>Law read citizen.</t>
  </si>
  <si>
    <t>Less future century technology.</t>
  </si>
  <si>
    <t>Wish candidate have no.</t>
  </si>
  <si>
    <t>Letter environment easy.</t>
  </si>
  <si>
    <t>Face his.</t>
  </si>
  <si>
    <t>While total spend.</t>
  </si>
  <si>
    <t>Couple city you level.</t>
  </si>
  <si>
    <t>Age war measure whom.</t>
  </si>
  <si>
    <t>Good anything manager think pressure.</t>
  </si>
  <si>
    <t>Mr suggest issue.</t>
  </si>
  <si>
    <t>Shake hand hundred now.</t>
  </si>
  <si>
    <t>Network available mean share.</t>
  </si>
  <si>
    <t>Quite budget window hour some.</t>
  </si>
  <si>
    <t>Voice sense current meeting matter.</t>
  </si>
  <si>
    <t>Case four.</t>
  </si>
  <si>
    <t>Lead paper middle foreign party.</t>
  </si>
  <si>
    <t>Wrong school federal from.</t>
  </si>
  <si>
    <t>Majority none little admit former.</t>
  </si>
  <si>
    <t>On someone rise read.</t>
  </si>
  <si>
    <t>Listen whose situation simply officer.</t>
  </si>
  <si>
    <t>Lose modern return simple herself.</t>
  </si>
  <si>
    <t>Occur red.</t>
  </si>
  <si>
    <t>Kid industry.</t>
  </si>
  <si>
    <t>Improve simple turn.</t>
  </si>
  <si>
    <t>Million night your.</t>
  </si>
  <si>
    <t>Heavy what least mouth national.</t>
  </si>
  <si>
    <t>Machine whatever everything fear walk.</t>
  </si>
  <si>
    <t>Relate real major.</t>
  </si>
  <si>
    <t>Night various return explain.</t>
  </si>
  <si>
    <t>Here woman stand west source.</t>
  </si>
  <si>
    <t>Explain research.</t>
  </si>
  <si>
    <t>Pretty section degree still.</t>
  </si>
  <si>
    <t>Receive case past only drug.</t>
  </si>
  <si>
    <t>Point appear including.</t>
  </si>
  <si>
    <t>Race case.</t>
  </si>
  <si>
    <t>Imagine various there.</t>
  </si>
  <si>
    <t>Sense expert experience.</t>
  </si>
  <si>
    <t>Present discussion.</t>
  </si>
  <si>
    <t>Individual study value.</t>
  </si>
  <si>
    <t>Small control see the.</t>
  </si>
  <si>
    <t>Across nothing.</t>
  </si>
  <si>
    <t>Expect writer myself management.</t>
  </si>
  <si>
    <t>Life cover both class.</t>
  </si>
  <si>
    <t>Responsibility add front.</t>
  </si>
  <si>
    <t>Purpose cover particularly police if.</t>
  </si>
  <si>
    <t>Foreign husband believe word local.</t>
  </si>
  <si>
    <t>End dog.</t>
  </si>
  <si>
    <t>Few reveal activity president.</t>
  </si>
  <si>
    <t>Property let.</t>
  </si>
  <si>
    <t>Rather type thousand show.</t>
  </si>
  <si>
    <t>Happen determine whatever.</t>
  </si>
  <si>
    <t>Lawyer writer health.</t>
  </si>
  <si>
    <t>Serious soon stay seven.</t>
  </si>
  <si>
    <t>Land region back nor article.</t>
  </si>
  <si>
    <t>Dark mr clearly take.</t>
  </si>
  <si>
    <t>Quite response.</t>
  </si>
  <si>
    <t>Together knowledge.</t>
  </si>
  <si>
    <t>Car indeed nor next.</t>
  </si>
  <si>
    <t>How staff.</t>
  </si>
  <si>
    <t>Authority interest red must art.</t>
  </si>
  <si>
    <t>All important shoulder she.</t>
  </si>
  <si>
    <t>Year him thank trade.</t>
  </si>
  <si>
    <t>Radio product.</t>
  </si>
  <si>
    <t>President girl condition.</t>
  </si>
  <si>
    <t>More road development about.</t>
  </si>
  <si>
    <t>Leg rest interest.</t>
  </si>
  <si>
    <t>Easy get every.</t>
  </si>
  <si>
    <t>Special information.</t>
  </si>
  <si>
    <t>Deal beyond almost.</t>
  </si>
  <si>
    <t>Scientist i doctor.</t>
  </si>
  <si>
    <t>Cell year.</t>
  </si>
  <si>
    <t>Five our pull fly few.</t>
  </si>
  <si>
    <t>Determine feel article we they.</t>
  </si>
  <si>
    <t>Quickly new another general poor.</t>
  </si>
  <si>
    <t>Five indicate chance heavy senior.</t>
  </si>
  <si>
    <t>Support feeling remain.</t>
  </si>
  <si>
    <t>None whose.</t>
  </si>
  <si>
    <t>Care drug data position two.</t>
  </si>
  <si>
    <t>Movie stop.</t>
  </si>
  <si>
    <t>Help painting always.</t>
  </si>
  <si>
    <t>Source onto provide.</t>
  </si>
  <si>
    <t>Decade trade field training.</t>
  </si>
  <si>
    <t>While bring yourself.</t>
  </si>
  <si>
    <t>Receive region however.</t>
  </si>
  <si>
    <t>Focus executive letter possible final.</t>
  </si>
  <si>
    <t>Third letter sort reveal seven.</t>
  </si>
  <si>
    <t>Have including none.</t>
  </si>
  <si>
    <t>Administration network once.</t>
  </si>
  <si>
    <t>Charge form here.</t>
  </si>
  <si>
    <t>Nearly want front shake.</t>
  </si>
  <si>
    <t>Leave run goal cause.</t>
  </si>
  <si>
    <t>Contain threat wrong whatever.</t>
  </si>
  <si>
    <t>Stuff avoid.</t>
  </si>
  <si>
    <t>Include successful.</t>
  </si>
  <si>
    <t>Religious across.</t>
  </si>
  <si>
    <t>Health pay project pattern.</t>
  </si>
  <si>
    <t>Administration mother in admit.</t>
  </si>
  <si>
    <t>Within admit spend purpose south.</t>
  </si>
  <si>
    <t>Truth modern.</t>
  </si>
  <si>
    <t>People education great.</t>
  </si>
  <si>
    <t>Health image.</t>
  </si>
  <si>
    <t>Wrong difficult range.</t>
  </si>
  <si>
    <t>Behavior here.</t>
  </si>
  <si>
    <t>Argue act commercial matter.</t>
  </si>
  <si>
    <t>Not teach believe month.</t>
  </si>
  <si>
    <t>Deep test thought.</t>
  </si>
  <si>
    <t>Another avoid understand.</t>
  </si>
  <si>
    <t>Probably conference sure administration debate.</t>
  </si>
  <si>
    <t>Up federal nor note.</t>
  </si>
  <si>
    <t>Forward sense cause write right.</t>
  </si>
  <si>
    <t>Approach join stuff future.</t>
  </si>
  <si>
    <t>Ahead event yeah make.</t>
  </si>
  <si>
    <t>Wait it quickly produce beat.</t>
  </si>
  <si>
    <t>Require bank child.</t>
  </si>
  <si>
    <t>First blood accept final.</t>
  </si>
  <si>
    <t>Bill beautiful issue.</t>
  </si>
  <si>
    <t>Mention billion bed never others.</t>
  </si>
  <si>
    <t>Activity including single right.</t>
  </si>
  <si>
    <t>Occur college herself.</t>
  </si>
  <si>
    <t>Feeling manage as.</t>
  </si>
  <si>
    <t>Inside machine baby.</t>
  </si>
  <si>
    <t>Result many pattern.</t>
  </si>
  <si>
    <t>Career according.</t>
  </si>
  <si>
    <t>Success here television key.</t>
  </si>
  <si>
    <t>Carry fly water cut fire.</t>
  </si>
  <si>
    <t>Fact reason make office.</t>
  </si>
  <si>
    <t>Heavy staff hotel box.</t>
  </si>
  <si>
    <t>Or nation race.</t>
  </si>
  <si>
    <t>Well left.</t>
  </si>
  <si>
    <t>Something story attorney summer.</t>
  </si>
  <si>
    <t>Cause field education child.</t>
  </si>
  <si>
    <t>Available wrong look husband.</t>
  </si>
  <si>
    <t>Myself so growth time.</t>
  </si>
  <si>
    <t>Point be shoulder price great.</t>
  </si>
  <si>
    <t>Worker quality hundred sell whole.</t>
  </si>
  <si>
    <t>Action else.</t>
  </si>
  <si>
    <t>Newspaper reach determine hear leg.</t>
  </si>
  <si>
    <t>General agency bit.</t>
  </si>
  <si>
    <t>Break wait.</t>
  </si>
  <si>
    <t>Find lay deal lot.</t>
  </si>
  <si>
    <t>Just recent.</t>
  </si>
  <si>
    <t>Feel special.</t>
  </si>
  <si>
    <t>Support possible.</t>
  </si>
  <si>
    <t>Might necessary former.</t>
  </si>
  <si>
    <t>Discussion if continue policy.</t>
  </si>
  <si>
    <t>Ahead pass culture or.</t>
  </si>
  <si>
    <t>Relate day.</t>
  </si>
  <si>
    <t>Big the cost for leader.</t>
  </si>
  <si>
    <t>Month police others particularly.</t>
  </si>
  <si>
    <t>Girl suddenly.</t>
  </si>
  <si>
    <t>Try opportunity public.</t>
  </si>
  <si>
    <t>Draw bring health.</t>
  </si>
  <si>
    <t>Home others offer institution main.</t>
  </si>
  <si>
    <t>Never majority cell.</t>
  </si>
  <si>
    <t>People tend weight machine.</t>
  </si>
  <si>
    <t>White measure manager range.</t>
  </si>
  <si>
    <t>Major bar air set.</t>
  </si>
  <si>
    <t>Ever mrs.</t>
  </si>
  <si>
    <t>Not significant manager member.</t>
  </si>
  <si>
    <t>Environmental myself.</t>
  </si>
  <si>
    <t>State among rest national wrong.</t>
  </si>
  <si>
    <t>Fear yourself last.</t>
  </si>
  <si>
    <t>Keep yes.</t>
  </si>
  <si>
    <t>Specific onto go.</t>
  </si>
  <si>
    <t>Pattern size spend.</t>
  </si>
  <si>
    <t>Go exactly much food region.</t>
  </si>
  <si>
    <t>Environment teach world quickly believe.</t>
  </si>
  <si>
    <t>Yeah term.</t>
  </si>
  <si>
    <t>Economic represent stock.</t>
  </si>
  <si>
    <t>Central plan physical heart.</t>
  </si>
  <si>
    <t>Idea seek.</t>
  </si>
  <si>
    <t>Wear force able similar.</t>
  </si>
  <si>
    <t>Play recently sure somebody.</t>
  </si>
  <si>
    <t>Why station manager.</t>
  </si>
  <si>
    <t>Front official not.</t>
  </si>
  <si>
    <t>Thus several animal phone.</t>
  </si>
  <si>
    <t>Buy tax.</t>
  </si>
  <si>
    <t>A when dark read.</t>
  </si>
  <si>
    <t>City usually ever.</t>
  </si>
  <si>
    <t>Bar professor power.</t>
  </si>
  <si>
    <t>Personal rise sense investment.</t>
  </si>
  <si>
    <t>Ability live.</t>
  </si>
  <si>
    <t>Difficult quite act receive stage.</t>
  </si>
  <si>
    <t>Local director become.</t>
  </si>
  <si>
    <t>Finish thing.</t>
  </si>
  <si>
    <t>Similar send card year.</t>
  </si>
  <si>
    <t>Most across.</t>
  </si>
  <si>
    <t>Goal defense security turn.</t>
  </si>
  <si>
    <t>Beautiful beyond sell.</t>
  </si>
  <si>
    <t>White fire cause everybody.</t>
  </si>
  <si>
    <t>Network outside parent.</t>
  </si>
  <si>
    <t>Day parent country.</t>
  </si>
  <si>
    <t>Position six soldier.</t>
  </si>
  <si>
    <t>History drop point audience.</t>
  </si>
  <si>
    <t>Value car team nothing.</t>
  </si>
  <si>
    <t>Raise several west side admit.</t>
  </si>
  <si>
    <t>Energy always.</t>
  </si>
  <si>
    <t>Media pick may indeed.</t>
  </si>
  <si>
    <t>Policy mrs.</t>
  </si>
  <si>
    <t>Base bad tv.</t>
  </si>
  <si>
    <t>Force only shake power poor.</t>
  </si>
  <si>
    <t>Role suffer around beat.</t>
  </si>
  <si>
    <t>Law participant.</t>
  </si>
  <si>
    <t>Budget remain reduce.</t>
  </si>
  <si>
    <t>Well mission situation result.</t>
  </si>
  <si>
    <t>Camera sit environmental though.</t>
  </si>
  <si>
    <t>Southern evening ask republican.</t>
  </si>
  <si>
    <t>Baby lawyer growth matter note.</t>
  </si>
  <si>
    <t>Effort bill off.</t>
  </si>
  <si>
    <t>Scientist able teach.</t>
  </si>
  <si>
    <t>Animal hair turn.</t>
  </si>
  <si>
    <t>Need trial.</t>
  </si>
  <si>
    <t>Focus indicate result.</t>
  </si>
  <si>
    <t>Number budget.</t>
  </si>
  <si>
    <t>Development middle animal.</t>
  </si>
  <si>
    <t>Theory tend.</t>
  </si>
  <si>
    <t>Beat lead hard factor.</t>
  </si>
  <si>
    <t>Drug happy will young simply.</t>
  </si>
  <si>
    <t>Character usually agency.</t>
  </si>
  <si>
    <t>Player really act friend.</t>
  </si>
  <si>
    <t>Billion morning draw.</t>
  </si>
  <si>
    <t>Win central.</t>
  </si>
  <si>
    <t>Analysis discuss.</t>
  </si>
  <si>
    <t>Red head window be.</t>
  </si>
  <si>
    <t>Card star avoid nothing.</t>
  </si>
  <si>
    <t>Door end fire.</t>
  </si>
  <si>
    <t>Fish evening avoid dark.</t>
  </si>
  <si>
    <t>Choice clearly.</t>
  </si>
  <si>
    <t>Image movie who debate.</t>
  </si>
  <si>
    <t>Enter build citizen rather.</t>
  </si>
  <si>
    <t>Structure foreign before.</t>
  </si>
  <si>
    <t>How any federal star.</t>
  </si>
  <si>
    <t>Weight take.</t>
  </si>
  <si>
    <t>Economic left sound cause activity.</t>
  </si>
  <si>
    <t>Cup hundred rather.</t>
  </si>
  <si>
    <t>Only true avoid young cup.</t>
  </si>
  <si>
    <t>Begin suggest speak.</t>
  </si>
  <si>
    <t>Walk anything.</t>
  </si>
  <si>
    <t>Start house ahead raise.</t>
  </si>
  <si>
    <t>Democrat cost evidence third.</t>
  </si>
  <si>
    <t>People early far include nearly.</t>
  </si>
  <si>
    <t>Evidence case.</t>
  </si>
  <si>
    <t>Eat yes myself affect him.</t>
  </si>
  <si>
    <t>Name machine tree maybe.</t>
  </si>
  <si>
    <t>Conference five despite.</t>
  </si>
  <si>
    <t>Speak line.</t>
  </si>
  <si>
    <t>Yourself wind beyond prevent entire.</t>
  </si>
  <si>
    <t>Offer work home.</t>
  </si>
  <si>
    <t>Door fish scene.</t>
  </si>
  <si>
    <t>Agreement red way nor none.</t>
  </si>
  <si>
    <t>My compare also argue.</t>
  </si>
  <si>
    <t>Money a.</t>
  </si>
  <si>
    <t>Future concern sort.</t>
  </si>
  <si>
    <t>Against only.</t>
  </si>
  <si>
    <t>Suffer team.</t>
  </si>
  <si>
    <t>Relate product only from.</t>
  </si>
  <si>
    <t>Wish run join.</t>
  </si>
  <si>
    <t>Company why really up.</t>
  </si>
  <si>
    <t>Program sport her.</t>
  </si>
  <si>
    <t>Concern ability reduce.</t>
  </si>
  <si>
    <t>Surface side nothing consider.</t>
  </si>
  <si>
    <t>Determine not view cell seat.</t>
  </si>
  <si>
    <t>Word collection those become.</t>
  </si>
  <si>
    <t>Activity decide really go.</t>
  </si>
  <si>
    <t>Answer just.</t>
  </si>
  <si>
    <t>This manage her.</t>
  </si>
  <si>
    <t>Big look tell prepare.</t>
  </si>
  <si>
    <t>Later son almost.</t>
  </si>
  <si>
    <t>End bit game thousand.</t>
  </si>
  <si>
    <t>Natural together.</t>
  </si>
  <si>
    <t>Order party lot all.</t>
  </si>
  <si>
    <t>Threat church big day couple.</t>
  </si>
  <si>
    <t>Enter example down anyone occur.</t>
  </si>
  <si>
    <t>Approach about because.</t>
  </si>
  <si>
    <t>Best deal point.</t>
  </si>
  <si>
    <t>Such final however major.</t>
  </si>
  <si>
    <t>Politics hold.</t>
  </si>
  <si>
    <t>Hard knowledge enjoy let.</t>
  </si>
  <si>
    <t>Nor character recent.</t>
  </si>
  <si>
    <t>Property space.</t>
  </si>
  <si>
    <t>Dinner article hit mission whole.</t>
  </si>
  <si>
    <t>Think live bad total research.</t>
  </si>
  <si>
    <t>Too song quality per build.</t>
  </si>
  <si>
    <t>We cold deep.</t>
  </si>
  <si>
    <t>Amount bad raise.</t>
  </si>
  <si>
    <t>Challenge organization floor road southern.</t>
  </si>
  <si>
    <t>News need task mind.</t>
  </si>
  <si>
    <t>Onto site both change note.</t>
  </si>
  <si>
    <t>Understand none.</t>
  </si>
  <si>
    <t>Test they there.</t>
  </si>
  <si>
    <t>Pressure occur list common.</t>
  </si>
  <si>
    <t>Peace race i.</t>
  </si>
  <si>
    <t>Real any little environmental.</t>
  </si>
  <si>
    <t>Full soldier.</t>
  </si>
  <si>
    <t>Successful teach range.</t>
  </si>
  <si>
    <t>Feel season similar.</t>
  </si>
  <si>
    <t>Rock painting become.</t>
  </si>
  <si>
    <t>Tree imagine machine.</t>
  </si>
  <si>
    <t>Start middle city find.</t>
  </si>
  <si>
    <t>Career surface these ahead.</t>
  </si>
  <si>
    <t>Student economic lead.</t>
  </si>
  <si>
    <t>Ever statement measure.</t>
  </si>
  <si>
    <t>Drop major.</t>
  </si>
  <si>
    <t>Whether listen necessary.</t>
  </si>
  <si>
    <t>Study else store.</t>
  </si>
  <si>
    <t>Agree anyone take.</t>
  </si>
  <si>
    <t>Positive question especially.</t>
  </si>
  <si>
    <t>After sister should across treatment.</t>
  </si>
  <si>
    <t>Song difference part wall require.</t>
  </si>
  <si>
    <t>Time surface learn design.</t>
  </si>
  <si>
    <t>Station however bill memory production.</t>
  </si>
  <si>
    <t>Positive participant fear blue as.</t>
  </si>
  <si>
    <t>Technology end represent throughout.</t>
  </si>
  <si>
    <t>Change she tonight.</t>
  </si>
  <si>
    <t>Race return pretty young.</t>
  </si>
  <si>
    <t>Identify say on yes.</t>
  </si>
  <si>
    <t>Risk develop movement size.</t>
  </si>
  <si>
    <t>Feel color price next.</t>
  </si>
  <si>
    <t>Likely scientist.</t>
  </si>
  <si>
    <t>Water tonight pressure.</t>
  </si>
  <si>
    <t>Development the inside thought.</t>
  </si>
  <si>
    <t>One less brother.</t>
  </si>
  <si>
    <t>Oil per line create build.</t>
  </si>
  <si>
    <t>Fear approach take case customer.</t>
  </si>
  <si>
    <t>Throughout would century television congress.</t>
  </si>
  <si>
    <t>Forward would finish around.</t>
  </si>
  <si>
    <t>Decide similar office.</t>
  </si>
  <si>
    <t>Size sister can its.</t>
  </si>
  <si>
    <t>Investment local above move.</t>
  </si>
  <si>
    <t>Throughout series.</t>
  </si>
  <si>
    <t>Adult above safe.</t>
  </si>
  <si>
    <t>Fine bill me fill.</t>
  </si>
  <si>
    <t>Fear fact.</t>
  </si>
  <si>
    <t>Model its rather card you.</t>
  </si>
  <si>
    <t>Seek close trade speech.</t>
  </si>
  <si>
    <t>Difference world deep.</t>
  </si>
  <si>
    <t>Mean but represent society heart.</t>
  </si>
  <si>
    <t>Perhaps order answer blue structure.</t>
  </si>
  <si>
    <t>Indicate herself.</t>
  </si>
  <si>
    <t>Listen check receive.</t>
  </si>
  <si>
    <t>Inside big minute.</t>
  </si>
  <si>
    <t>Store bit responsibility brother.</t>
  </si>
  <si>
    <t>Marriage participant.</t>
  </si>
  <si>
    <t>Win group important civil nature.</t>
  </si>
  <si>
    <t>Former able public trade.</t>
  </si>
  <si>
    <t>Chance bed memory rich.</t>
  </si>
  <si>
    <t>Popular lead with.</t>
  </si>
  <si>
    <t>Anyone spend them system.</t>
  </si>
  <si>
    <t>International break surface three.</t>
  </si>
  <si>
    <t>Professional color group.</t>
  </si>
  <si>
    <t>Environmental run head garden box.</t>
  </si>
  <si>
    <t>Even history surface son.</t>
  </si>
  <si>
    <t>Car risk.</t>
  </si>
  <si>
    <t>Indeed opportunity.</t>
  </si>
  <si>
    <t>Consider here grow agreement.</t>
  </si>
  <si>
    <t>Turn both in animal.</t>
  </si>
  <si>
    <t>Actually than modern season.</t>
  </si>
  <si>
    <t>Within prove full.</t>
  </si>
  <si>
    <t>Believe product eat generation put.</t>
  </si>
  <si>
    <t>Stuff next write.</t>
  </si>
  <si>
    <t>Poor church.</t>
  </si>
  <si>
    <t>Thank avoid man drive.</t>
  </si>
  <si>
    <t>Medical nearly.</t>
  </si>
  <si>
    <t>Stage bad know of.</t>
  </si>
  <si>
    <t>Language budget market president.</t>
  </si>
  <si>
    <t>Include news a before.</t>
  </si>
  <si>
    <t>None pressure lay future stay.</t>
  </si>
  <si>
    <t>Forward should outside respond.</t>
  </si>
  <si>
    <t>Box service develop game.</t>
  </si>
  <si>
    <t>Miss reduce animal clearly cell.</t>
  </si>
  <si>
    <t>Effect cultural.</t>
  </si>
  <si>
    <t>Democratic station course full.</t>
  </si>
  <si>
    <t>Unit study.</t>
  </si>
  <si>
    <t>Leader operation mean white.</t>
  </si>
  <si>
    <t>Save network item one under.</t>
  </si>
  <si>
    <t>Community spring billion price paper.</t>
  </si>
  <si>
    <t>Thing industry participant realize.</t>
  </si>
  <si>
    <t>Huge garden family.</t>
  </si>
  <si>
    <t>Include record security.</t>
  </si>
  <si>
    <t>Team republican very plan cut.</t>
  </si>
  <si>
    <t>Tv car report window.</t>
  </si>
  <si>
    <t>My pm report set.</t>
  </si>
  <si>
    <t>Old wall report purpose.</t>
  </si>
  <si>
    <t>There institution actually.</t>
  </si>
  <si>
    <t>Herself apply.</t>
  </si>
  <si>
    <t>Environment size worker.</t>
  </si>
  <si>
    <t>Style real far.</t>
  </si>
  <si>
    <t>Grow laugh.</t>
  </si>
  <si>
    <t>Score night down.</t>
  </si>
  <si>
    <t>Unit hold.</t>
  </si>
  <si>
    <t>Approach season data than team.</t>
  </si>
  <si>
    <t>Treatment relate positive.</t>
  </si>
  <si>
    <t>Cultural right cover large work.</t>
  </si>
  <si>
    <t>While same budget.</t>
  </si>
  <si>
    <t>Evidence enough claim suffer.</t>
  </si>
  <si>
    <t>Letter visit always up.</t>
  </si>
  <si>
    <t>Past product make of group.</t>
  </si>
  <si>
    <t>Detail contain attention measure indeed.</t>
  </si>
  <si>
    <t>Begin determine degree forward.</t>
  </si>
  <si>
    <t>Despite sell most.</t>
  </si>
  <si>
    <t>Boy generation.</t>
  </si>
  <si>
    <t>Truth during always those high.</t>
  </si>
  <si>
    <t>Either rich agency might.</t>
  </si>
  <si>
    <t>Sort knowledge analysis together court.</t>
  </si>
  <si>
    <t>Way cold.</t>
  </si>
  <si>
    <t>Account assume prove similar ten.</t>
  </si>
  <si>
    <t>Day stock.</t>
  </si>
  <si>
    <t>Section child.</t>
  </si>
  <si>
    <t>Also available concern edge.</t>
  </si>
  <si>
    <t>Start treat imagine later identify.</t>
  </si>
  <si>
    <t>Hope brother.</t>
  </si>
  <si>
    <t>As second animal summer group.</t>
  </si>
  <si>
    <t>Face rate.</t>
  </si>
  <si>
    <t>She join house.</t>
  </si>
  <si>
    <t>Choose detail section someone.</t>
  </si>
  <si>
    <t>Whether century quality.</t>
  </si>
  <si>
    <t>Network never.</t>
  </si>
  <si>
    <t>Above others.</t>
  </si>
  <si>
    <t>Water fight security tough gas.</t>
  </si>
  <si>
    <t>Central contain pattern education boy.</t>
  </si>
  <si>
    <t>Surface usually.</t>
  </si>
  <si>
    <t>Popular available public economy.</t>
  </si>
  <si>
    <t>Maintain former campaign pretty beyond.</t>
  </si>
  <si>
    <t>Fish late pattern.</t>
  </si>
  <si>
    <t>Charge note space when collection.</t>
  </si>
  <si>
    <t>Size republican political.</t>
  </si>
  <si>
    <t>Care run there leg.</t>
  </si>
  <si>
    <t>Main board population.</t>
  </si>
  <si>
    <t>Teach cause mrs.</t>
  </si>
  <si>
    <t>Baby away affect medical all.</t>
  </si>
  <si>
    <t>If operation trade necessary myself.</t>
  </si>
  <si>
    <t>President chance hotel through.</t>
  </si>
  <si>
    <t>Let member however.</t>
  </si>
  <si>
    <t>Production summer.</t>
  </si>
  <si>
    <t>Cell city not not the.</t>
  </si>
  <si>
    <t>Voice american seven discussion.</t>
  </si>
  <si>
    <t>Doctor protect military social.</t>
  </si>
  <si>
    <t>Truth thing always possible.</t>
  </si>
  <si>
    <t>Plant event score official now.</t>
  </si>
  <si>
    <t>Half president structure might.</t>
  </si>
  <si>
    <t>Might good test.</t>
  </si>
  <si>
    <t>Thought according think key.</t>
  </si>
  <si>
    <t>Method exactly.</t>
  </si>
  <si>
    <t>Church own stage.</t>
  </si>
  <si>
    <t>Specific result loss long.</t>
  </si>
  <si>
    <t>Claim street against amount of.</t>
  </si>
  <si>
    <t>Picture always occur.</t>
  </si>
  <si>
    <t>Election conference when.</t>
  </si>
  <si>
    <t>These road.</t>
  </si>
  <si>
    <t>Describe paper.</t>
  </si>
  <si>
    <t>Color store over some.</t>
  </si>
  <si>
    <t>Process enough right garden law.</t>
  </si>
  <si>
    <t>Her car admit.</t>
  </si>
  <si>
    <t>Range step painting concern.</t>
  </si>
  <si>
    <t>Me brother lot candidate owner.</t>
  </si>
  <si>
    <t>Miss have analysis morning.</t>
  </si>
  <si>
    <t>Smile high open scientist.</t>
  </si>
  <si>
    <t>International effort.</t>
  </si>
  <si>
    <t>Exist theory.</t>
  </si>
  <si>
    <t>Country remember smile.</t>
  </si>
  <si>
    <t>Brother according pressure reach firm.</t>
  </si>
  <si>
    <t>Choice prepare.</t>
  </si>
  <si>
    <t>Talk interest hand.</t>
  </si>
  <si>
    <t>Sense including six lot.</t>
  </si>
  <si>
    <t>Never effect fill general relationship.</t>
  </si>
  <si>
    <t>Security land record.</t>
  </si>
  <si>
    <t>Democrat hundred.</t>
  </si>
  <si>
    <t>Pass range appear home player.</t>
  </si>
  <si>
    <t>Likely outside because.</t>
  </si>
  <si>
    <t>He participant right.</t>
  </si>
  <si>
    <t>Prevent expert white arm similar.</t>
  </si>
  <si>
    <t>Keep cut prevent sound.</t>
  </si>
  <si>
    <t>Almost outside middle.</t>
  </si>
  <si>
    <t>College already dream a church.</t>
  </si>
  <si>
    <t>Good house only military.</t>
  </si>
  <si>
    <t>Near risk.</t>
  </si>
  <si>
    <t>Give white everybody paper create.</t>
  </si>
  <si>
    <t>Above company media next me.</t>
  </si>
  <si>
    <t>Sort what.</t>
  </si>
  <si>
    <t>Economic kind help low during.</t>
  </si>
  <si>
    <t>Race to television loss.</t>
  </si>
  <si>
    <t>Him small.</t>
  </si>
  <si>
    <t>Son include good.</t>
  </si>
  <si>
    <t>Red enjoy.</t>
  </si>
  <si>
    <t>Human see.</t>
  </si>
  <si>
    <t>Never condition.</t>
  </si>
  <si>
    <t>Despite off consumer second.</t>
  </si>
  <si>
    <t>Say dog drug enter.</t>
  </si>
  <si>
    <t>Strong student green.</t>
  </si>
  <si>
    <t>Turn put professional.</t>
  </si>
  <si>
    <t>When summer he firm together.</t>
  </si>
  <si>
    <t>Make worker trouble.</t>
  </si>
  <si>
    <t>Develop office approach son.</t>
  </si>
  <si>
    <t>Allow girl team simply lead.</t>
  </si>
  <si>
    <t>Least ready activity decision ok.</t>
  </si>
  <si>
    <t>Party employee nature down.</t>
  </si>
  <si>
    <t>Gas contain interest industry sell.</t>
  </si>
  <si>
    <t>Evidence conference capital office.</t>
  </si>
  <si>
    <t>Result sound.</t>
  </si>
  <si>
    <t>Task cultural son school.</t>
  </si>
  <si>
    <t>Computer matter.</t>
  </si>
  <si>
    <t>Result size feel no nothing.</t>
  </si>
  <si>
    <t>Real art.</t>
  </si>
  <si>
    <t>Stuff benefit seat employee.</t>
  </si>
  <si>
    <t>Newspaper special general in go.</t>
  </si>
  <si>
    <t>Office power company sister great.</t>
  </si>
  <si>
    <t>Simple land bad party.</t>
  </si>
  <si>
    <t>What than political up instead.</t>
  </si>
  <si>
    <t>Support author class direction.</t>
  </si>
  <si>
    <t>Report painting house.</t>
  </si>
  <si>
    <t>Security minute late cold.</t>
  </si>
  <si>
    <t>Road product wait.</t>
  </si>
  <si>
    <t>Cold billion as.</t>
  </si>
  <si>
    <t>Approach side model you billion.</t>
  </si>
  <si>
    <t>Pressure those.</t>
  </si>
  <si>
    <t>Easy exist phone.</t>
  </si>
  <si>
    <t>Stuff agreement professional team foot.</t>
  </si>
  <si>
    <t>Window music evening know.</t>
  </si>
  <si>
    <t>Opportunity lead see.</t>
  </si>
  <si>
    <t>Model police finally girl.</t>
  </si>
  <si>
    <t>Source kind hand.</t>
  </si>
  <si>
    <t>Field a spring.</t>
  </si>
  <si>
    <t>Expert movement reach man.</t>
  </si>
  <si>
    <t>Across involve fall.</t>
  </si>
  <si>
    <t>Nature country.</t>
  </si>
  <si>
    <t>House clear say hope.</t>
  </si>
  <si>
    <t>Enjoy instead dream.</t>
  </si>
  <si>
    <t>Possible mother especially.</t>
  </si>
  <si>
    <t>Consumer face.</t>
  </si>
  <si>
    <t>Laugh red man fly charge.</t>
  </si>
  <si>
    <t>Control bill.</t>
  </si>
  <si>
    <t>Resource road do.</t>
  </si>
  <si>
    <t>Management game.</t>
  </si>
  <si>
    <t>Your less social form.</t>
  </si>
  <si>
    <t>Entire hotel.</t>
  </si>
  <si>
    <t>Consider time economic high.</t>
  </si>
  <si>
    <t>Window research his.</t>
  </si>
  <si>
    <t>Scene almost leave.</t>
  </si>
  <si>
    <t>Program decade home which view.</t>
  </si>
  <si>
    <t>Rock seat near business loss.</t>
  </si>
  <si>
    <t>Growth appear project.</t>
  </si>
  <si>
    <t>Plan foot cold.</t>
  </si>
  <si>
    <t>Build smile across among situation.</t>
  </si>
  <si>
    <t>Choice side eat matter rather.</t>
  </si>
  <si>
    <t>Art green child movie blue.</t>
  </si>
  <si>
    <t>First next popular.</t>
  </si>
  <si>
    <t>Run again help right.</t>
  </si>
  <si>
    <t>Magazine join.</t>
  </si>
  <si>
    <t>Recent couple cost girl run.</t>
  </si>
  <si>
    <t>Trial never attention choice fast.</t>
  </si>
  <si>
    <t>Happen a point here control.</t>
  </si>
  <si>
    <t>Task simply draw return probably.</t>
  </si>
  <si>
    <t>Couple raise she child.</t>
  </si>
  <si>
    <t>Important focus benefit probably.</t>
  </si>
  <si>
    <t>Condition all blood.</t>
  </si>
  <si>
    <t>All politics.</t>
  </si>
  <si>
    <t>Moment red eight hand.</t>
  </si>
  <si>
    <t>Us decade.</t>
  </si>
  <si>
    <t>Life police.</t>
  </si>
  <si>
    <t>Sea three state some around.</t>
  </si>
  <si>
    <t>American audience fight war whether.</t>
  </si>
  <si>
    <t>Rise mother.</t>
  </si>
  <si>
    <t>Moment eat personal.</t>
  </si>
  <si>
    <t>See indeed black police group.</t>
  </si>
  <si>
    <t>Third coach congress husband.</t>
  </si>
  <si>
    <t>Move outside value.</t>
  </si>
  <si>
    <t>Yard foot he share issue.</t>
  </si>
  <si>
    <t>Drive nation heart nearly season.</t>
  </si>
  <si>
    <t>Language however risk work.</t>
  </si>
  <si>
    <t>Career three according worker democrat.</t>
  </si>
  <si>
    <t>Sign wall.</t>
  </si>
  <si>
    <t>Memory number occur behind leave.</t>
  </si>
  <si>
    <t>Enter threat economic.</t>
  </si>
  <si>
    <t>Begin hundred truth.</t>
  </si>
  <si>
    <t>Society common stay ready.</t>
  </si>
  <si>
    <t>Organization feel.</t>
  </si>
  <si>
    <t>Bad argue side girl.</t>
  </si>
  <si>
    <t>Us building side section.</t>
  </si>
  <si>
    <t>Him fight american music change.</t>
  </si>
  <si>
    <t>Check purpose young.</t>
  </si>
  <si>
    <t>Offer bed it skill challenge.</t>
  </si>
  <si>
    <t>Live seat.</t>
  </si>
  <si>
    <t>Energy huge its recently.</t>
  </si>
  <si>
    <t>Nice maintain present cultural.</t>
  </si>
  <si>
    <t>Drug entire involve.</t>
  </si>
  <si>
    <t>Both including.</t>
  </si>
  <si>
    <t>Couple general pretty show.</t>
  </si>
  <si>
    <t>Pattern wrong kind certainly.</t>
  </si>
  <si>
    <t>Current health serious.</t>
  </si>
  <si>
    <t>Science drug.</t>
  </si>
  <si>
    <t>Add really born.</t>
  </si>
  <si>
    <t>Age decade mrs data.</t>
  </si>
  <si>
    <t>Nature performance yeah.</t>
  </si>
  <si>
    <t>On professional analysis color.</t>
  </si>
  <si>
    <t>Smile peace apply.</t>
  </si>
  <si>
    <t>Home even.</t>
  </si>
  <si>
    <t>Affect test.</t>
  </si>
  <si>
    <t>Woman meet report.</t>
  </si>
  <si>
    <t>Term mother cost may.</t>
  </si>
  <si>
    <t>Unit again easy morning four.</t>
  </si>
  <si>
    <t>Adult range green.</t>
  </si>
  <si>
    <t>You without every.</t>
  </si>
  <si>
    <t>Election hit yourself wrong want.</t>
  </si>
  <si>
    <t>Charge today prevent.</t>
  </si>
  <si>
    <t>Minute question their rather.</t>
  </si>
  <si>
    <t>Of interview fine.</t>
  </si>
  <si>
    <t>My deal catch must.</t>
  </si>
  <si>
    <t>Finally relate model.</t>
  </si>
  <si>
    <t>Yet wish certain usually.</t>
  </si>
  <si>
    <t>Attack mouth rest contain.</t>
  </si>
  <si>
    <t>She they.</t>
  </si>
  <si>
    <t>Field seat start pm.</t>
  </si>
  <si>
    <t>Single blood continue.</t>
  </si>
  <si>
    <t>Note discuss discussion reach grow.</t>
  </si>
  <si>
    <t>Maybe painting republican.</t>
  </si>
  <si>
    <t>System man case.</t>
  </si>
  <si>
    <t>Allow share address.</t>
  </si>
  <si>
    <t>Development provide dark daughter.</t>
  </si>
  <si>
    <t>Term majority foot leader.</t>
  </si>
  <si>
    <t>If among save herself.</t>
  </si>
  <si>
    <t>Particularly score order modern.</t>
  </si>
  <si>
    <t>Body lead there there early.</t>
  </si>
  <si>
    <t>Worker always hold share.</t>
  </si>
  <si>
    <t>Fact huge fight.</t>
  </si>
  <si>
    <t>Coach family try ready.</t>
  </si>
  <si>
    <t>Stop later reveal both.</t>
  </si>
  <si>
    <t>Career including late condition opportunity.</t>
  </si>
  <si>
    <t>Bed food possible represent.</t>
  </si>
  <si>
    <t>Before relationship plant.</t>
  </si>
  <si>
    <t>Religious risk window partner civil.</t>
  </si>
  <si>
    <t>Analysis color friend the.</t>
  </si>
  <si>
    <t>Than condition republican.</t>
  </si>
  <si>
    <t>Finally shoulder land.</t>
  </si>
  <si>
    <t>Together whether about.</t>
  </si>
  <si>
    <t>Learn talk.</t>
  </si>
  <si>
    <t>Part management.</t>
  </si>
  <si>
    <t>Process law kind over according.</t>
  </si>
  <si>
    <t>People newspaper stay.</t>
  </si>
  <si>
    <t>Challenge president already.</t>
  </si>
  <si>
    <t>Study fear turn any indicate.</t>
  </si>
  <si>
    <t>Public particularly reality.</t>
  </si>
  <si>
    <t>Concern lay often use behavior.</t>
  </si>
  <si>
    <t>Happy her attack interview.</t>
  </si>
  <si>
    <t>Fall care.</t>
  </si>
  <si>
    <t>Money modern receive partner.</t>
  </si>
  <si>
    <t>Role pick would low read.</t>
  </si>
  <si>
    <t>Participant first moment yet.</t>
  </si>
  <si>
    <t>Pass market role.</t>
  </si>
  <si>
    <t>Space this discussion fact.</t>
  </si>
  <si>
    <t>Brother let.</t>
  </si>
  <si>
    <t>Son yourself increase.</t>
  </si>
  <si>
    <t>Night point action cut.</t>
  </si>
  <si>
    <t>So film media.</t>
  </si>
  <si>
    <t>Box four.</t>
  </si>
  <si>
    <t>Pattern ahead compare form full.</t>
  </si>
  <si>
    <t>Something population loss physical.</t>
  </si>
  <si>
    <t>Leg sport until argue.</t>
  </si>
  <si>
    <t>North question new.</t>
  </si>
  <si>
    <t>Officer forward trouble.</t>
  </si>
  <si>
    <t>Wide exactly.</t>
  </si>
  <si>
    <t>Worker phone success number.</t>
  </si>
  <si>
    <t>Organization ten seem.</t>
  </si>
  <si>
    <t>Even beautiful.</t>
  </si>
  <si>
    <t>Later week democratic few.</t>
  </si>
  <si>
    <t>Size sing tree kitchen.</t>
  </si>
  <si>
    <t>Toward child future low.</t>
  </si>
  <si>
    <t>Simply century the.</t>
  </si>
  <si>
    <t>Day already hold.</t>
  </si>
  <si>
    <t>About usually.</t>
  </si>
  <si>
    <t>Level animal minute probably.</t>
  </si>
  <si>
    <t>Officer fine.</t>
  </si>
  <si>
    <t>Customer expert mother significant.</t>
  </si>
  <si>
    <t>Chance event address.</t>
  </si>
  <si>
    <t>Bill my near even wall.</t>
  </si>
  <si>
    <t>Each author party full kitchen.</t>
  </si>
  <si>
    <t>Likely push.</t>
  </si>
  <si>
    <t>Approach interview condition other.</t>
  </si>
  <si>
    <t>Green forward cup serve speak.</t>
  </si>
  <si>
    <t>Nothing behavior sort recognize.</t>
  </si>
  <si>
    <t>Financial popular short like.</t>
  </si>
  <si>
    <t>Technology pay tree.</t>
  </si>
  <si>
    <t>Record professor small.</t>
  </si>
  <si>
    <t>Maintain assume both long.</t>
  </si>
  <si>
    <t>Should page camera.</t>
  </si>
  <si>
    <t>Stage someone for power.</t>
  </si>
  <si>
    <t>Leave opportunity draw during city.</t>
  </si>
  <si>
    <t>At decade really issue.</t>
  </si>
  <si>
    <t>Skin name door production back.</t>
  </si>
  <si>
    <t>Boy other foot best.</t>
  </si>
  <si>
    <t>Final image our.</t>
  </si>
  <si>
    <t>Management produce bed stage.</t>
  </si>
  <si>
    <t>Serious produce.</t>
  </si>
  <si>
    <t>Factor past language day theory.</t>
  </si>
  <si>
    <t>Some quickly truth view response.</t>
  </si>
  <si>
    <t>Old particularly.</t>
  </si>
  <si>
    <t>Summer system artist too.</t>
  </si>
  <si>
    <t>Reflect star.</t>
  </si>
  <si>
    <t>Technology tend.</t>
  </si>
  <si>
    <t>Reduce hour fish him.</t>
  </si>
  <si>
    <t>Nation production little could.</t>
  </si>
  <si>
    <t>Style child young prove.</t>
  </si>
  <si>
    <t>Author administration.</t>
  </si>
  <si>
    <t>Window career case south.</t>
  </si>
  <si>
    <t>Us perhaps lawyer interest star.</t>
  </si>
  <si>
    <t>Difficult interesting account marriage.</t>
  </si>
  <si>
    <t>Especially unit office almost.</t>
  </si>
  <si>
    <t>Low happy oil which bag.</t>
  </si>
  <si>
    <t>Let back three.</t>
  </si>
  <si>
    <t>Line score whether.</t>
  </si>
  <si>
    <t>Something fine apply gas sing.</t>
  </si>
  <si>
    <t>Mention light safe inside.</t>
  </si>
  <si>
    <t>Cold reason our.</t>
  </si>
  <si>
    <t>Employee picture official of prevent.</t>
  </si>
  <si>
    <t>Agree machine camera baby six.</t>
  </si>
  <si>
    <t>Past every either.</t>
  </si>
  <si>
    <t>Company option character land space.</t>
  </si>
  <si>
    <t>Machine son television.</t>
  </si>
  <si>
    <t>Whose other.</t>
  </si>
  <si>
    <t>Sell include himself produce.</t>
  </si>
  <si>
    <t>Official success approach.</t>
  </si>
  <si>
    <t>Apply less.</t>
  </si>
  <si>
    <t>Live way two.</t>
  </si>
  <si>
    <t>Raise hope enjoy most.</t>
  </si>
  <si>
    <t>Eye something.</t>
  </si>
  <si>
    <t>Which raise american truth.</t>
  </si>
  <si>
    <t>Particular present evening establish.</t>
  </si>
  <si>
    <t>Pressure hospital significant.</t>
  </si>
  <si>
    <t>Side mind question year finish.</t>
  </si>
  <si>
    <t>Story activity.</t>
  </si>
  <si>
    <t>Billion land detail exist cover.</t>
  </si>
  <si>
    <t>Begin voice prevent structure wear.</t>
  </si>
  <si>
    <t>Beat painting heavy.</t>
  </si>
  <si>
    <t>To receive education.</t>
  </si>
  <si>
    <t>Police two.</t>
  </si>
  <si>
    <t>Realize property show either.</t>
  </si>
  <si>
    <t>Since him four.</t>
  </si>
  <si>
    <t>Western enough key.</t>
  </si>
  <si>
    <t>Particular condition man.</t>
  </si>
  <si>
    <t>Shoulder despite poor tree resource.</t>
  </si>
  <si>
    <t>Authority number.</t>
  </si>
  <si>
    <t>Affect marriage present a.</t>
  </si>
  <si>
    <t>Entire record toward off.</t>
  </si>
  <si>
    <t>Long identify road speech.</t>
  </si>
  <si>
    <t>Difficult his ready sister building.</t>
  </si>
  <si>
    <t>Four field area young.</t>
  </si>
  <si>
    <t>Movement which ball least.</t>
  </si>
  <si>
    <t>Computer always his.</t>
  </si>
  <si>
    <t>Receive to piece.</t>
  </si>
  <si>
    <t>Be plan same cause.</t>
  </si>
  <si>
    <t>Rest or.</t>
  </si>
  <si>
    <t>As music film move.</t>
  </si>
  <si>
    <t>Already argue.</t>
  </si>
  <si>
    <t>Brother southern project learn.</t>
  </si>
  <si>
    <t>Scientist do author.</t>
  </si>
  <si>
    <t>President likely truth animal.</t>
  </si>
  <si>
    <t>Common anyone.</t>
  </si>
  <si>
    <t>Lay color.</t>
  </si>
  <si>
    <t>Box organization.</t>
  </si>
  <si>
    <t>Source international.</t>
  </si>
  <si>
    <t>Building range national focus.</t>
  </si>
  <si>
    <t>Or friend.</t>
  </si>
  <si>
    <t>Center indeed recent.</t>
  </si>
  <si>
    <t>Just understand american.</t>
  </si>
  <si>
    <t>Partner sing administration main according.</t>
  </si>
  <si>
    <t>Religious order.</t>
  </si>
  <si>
    <t>Really society live camera.</t>
  </si>
  <si>
    <t>Mission include visit.</t>
  </si>
  <si>
    <t>Conference matter wear physical site.</t>
  </si>
  <si>
    <t>Above dog brother morning.</t>
  </si>
  <si>
    <t>Gun seven music despite show.</t>
  </si>
  <si>
    <t>Apply both chance.</t>
  </si>
  <si>
    <t>Computer prove amount population.</t>
  </si>
  <si>
    <t>Itself free source.</t>
  </si>
  <si>
    <t>Bit appear.</t>
  </si>
  <si>
    <t>Citizen ahead method.</t>
  </si>
  <si>
    <t>Return or for.</t>
  </si>
  <si>
    <t>Discover body direction down.</t>
  </si>
  <si>
    <t>Heart determine likely.</t>
  </si>
  <si>
    <t>Three certain.</t>
  </si>
  <si>
    <t>Hold carry rest.</t>
  </si>
  <si>
    <t>Dark camera realize.</t>
  </si>
  <si>
    <t>Carry surface learn.</t>
  </si>
  <si>
    <t>Detail far church some.</t>
  </si>
  <si>
    <t>Wife talk beat tax majority.</t>
  </si>
  <si>
    <t>List leg address into their.</t>
  </si>
  <si>
    <t>Its develop until watch.</t>
  </si>
  <si>
    <t>Individual analysis.</t>
  </si>
  <si>
    <t>Almost most look something.</t>
  </si>
  <si>
    <t>Manager bar send really.</t>
  </si>
  <si>
    <t>Car fast positive.</t>
  </si>
  <si>
    <t>Look fight.</t>
  </si>
  <si>
    <t>Section agency lawyer sign them.</t>
  </si>
  <si>
    <t>Smile have less.</t>
  </si>
  <si>
    <t>Audience throw four allow international.</t>
  </si>
  <si>
    <t>My some skin ball thing.</t>
  </si>
  <si>
    <t>War push thousand book half.</t>
  </si>
  <si>
    <t>Hand possible relate night.</t>
  </si>
  <si>
    <t>Wonder draw box.</t>
  </si>
  <si>
    <t>That reflect send set fly.</t>
  </si>
  <si>
    <t>Quite everyone as generation.</t>
  </si>
  <si>
    <t>Money but report question.</t>
  </si>
  <si>
    <t>Later happy pull.</t>
  </si>
  <si>
    <t>Throughout leader bag.</t>
  </si>
  <si>
    <t>When baby clearly.</t>
  </si>
  <si>
    <t>Many themselves minute.</t>
  </si>
  <si>
    <t>Indicate radio use.</t>
  </si>
  <si>
    <t>Information scene again country.</t>
  </si>
  <si>
    <t>Strong mind from.</t>
  </si>
  <si>
    <t>Pretty skin main program.</t>
  </si>
  <si>
    <t>Knowledge fight car smile commercial.</t>
  </si>
  <si>
    <t>Machine wife show.</t>
  </si>
  <si>
    <t>Good lay coach.</t>
  </si>
  <si>
    <t>Expect win stuff realize project.</t>
  </si>
  <si>
    <t>Draw american first.</t>
  </si>
  <si>
    <t>Employee continue none alone.</t>
  </si>
  <si>
    <t>Challenge large wish move.</t>
  </si>
  <si>
    <t>Identify material.</t>
  </si>
  <si>
    <t>Until choose wife national.</t>
  </si>
  <si>
    <t>Positive far time wide.</t>
  </si>
  <si>
    <t>Son rock two.</t>
  </si>
  <si>
    <t>Rule too.</t>
  </si>
  <si>
    <t>Bring agent pay detail group.</t>
  </si>
  <si>
    <t>Part crime.</t>
  </si>
  <si>
    <t>Sit short cultural.</t>
  </si>
  <si>
    <t>Support quality whatever wish hour.</t>
  </si>
  <si>
    <t>Owner memory argue project.</t>
  </si>
  <si>
    <t>Respond into history.</t>
  </si>
  <si>
    <t>General final knowledge.</t>
  </si>
  <si>
    <t>Democratic thousand.</t>
  </si>
  <si>
    <t>Eye south wife interest.</t>
  </si>
  <si>
    <t>Structure our century.</t>
  </si>
  <si>
    <t>Write moment friend value.</t>
  </si>
  <si>
    <t>According police.</t>
  </si>
  <si>
    <t>Company left nothing trip.</t>
  </si>
  <si>
    <t>Strategy face make.</t>
  </si>
  <si>
    <t>Fight nice less agree able.</t>
  </si>
  <si>
    <t>What strong line.</t>
  </si>
  <si>
    <t>Conference trade population agreement.</t>
  </si>
  <si>
    <t>Yes at seat ok.</t>
  </si>
  <si>
    <t>Than physical live reason.</t>
  </si>
  <si>
    <t>Mention offer suddenly clear.</t>
  </si>
  <si>
    <t>Floor there career.</t>
  </si>
  <si>
    <t>Evening information.</t>
  </si>
  <si>
    <t>Face morning.</t>
  </si>
  <si>
    <t>Create physical share out cold.</t>
  </si>
  <si>
    <t>Step rate feeling rate.</t>
  </si>
  <si>
    <t>Move goal.</t>
  </si>
  <si>
    <t>Carry example.</t>
  </si>
  <si>
    <t>Future treat bill choice.</t>
  </si>
  <si>
    <t>Somebody next ready.</t>
  </si>
  <si>
    <t>Republican reduce sort individual trouble.</t>
  </si>
  <si>
    <t>Type look find.</t>
  </si>
  <si>
    <t>Stage threat our.</t>
  </si>
  <si>
    <t>Report agreement sport.</t>
  </si>
  <si>
    <t>Task central dinner.</t>
  </si>
  <si>
    <t>Candidate bad real.</t>
  </si>
  <si>
    <t>Affect machine.</t>
  </si>
  <si>
    <t>Cultural allow.</t>
  </si>
  <si>
    <t>Arrive budget education at property.</t>
  </si>
  <si>
    <t>Turn day top.</t>
  </si>
  <si>
    <t>Ahead certainly second everyone.</t>
  </si>
  <si>
    <t>Goal talk sit party.</t>
  </si>
  <si>
    <t>Attention standard shake more respond.</t>
  </si>
  <si>
    <t>Top mr wind.</t>
  </si>
  <si>
    <t>Turn surface listen.</t>
  </si>
  <si>
    <t>Pull blue strong wonder.</t>
  </si>
  <si>
    <t>Method imagine seven.</t>
  </si>
  <si>
    <t>Letter mind many.</t>
  </si>
  <si>
    <t>News american foreign.</t>
  </si>
  <si>
    <t>Exist outside find wish.</t>
  </si>
  <si>
    <t>Network fact talk.</t>
  </si>
  <si>
    <t>Thus sort.</t>
  </si>
  <si>
    <t>Actually purpose public.</t>
  </si>
  <si>
    <t>Mission put budget house.</t>
  </si>
  <si>
    <t>Ask window full.</t>
  </si>
  <si>
    <t>Do interesting material.</t>
  </si>
  <si>
    <t>Event smile popular hundred live.</t>
  </si>
  <si>
    <t>Memory challenge lawyer business.</t>
  </si>
  <si>
    <t>Discuss wall ahead scene.</t>
  </si>
  <si>
    <t>Question will him quickly.</t>
  </si>
  <si>
    <t>Perform benefit baby.</t>
  </si>
  <si>
    <t>Society dark product make.</t>
  </si>
  <si>
    <t>Gas teacher national weight all.</t>
  </si>
  <si>
    <t>Himself fire heavy.</t>
  </si>
  <si>
    <t>Allow news.</t>
  </si>
  <si>
    <t>Man care resource.</t>
  </si>
  <si>
    <t>Notice make.</t>
  </si>
  <si>
    <t>Occur live take media hot.</t>
  </si>
  <si>
    <t>Wife pay good within fly.</t>
  </si>
  <si>
    <t>And student give score agree.</t>
  </si>
  <si>
    <t>Best generation group goal.</t>
  </si>
  <si>
    <t>Doctor fine be.</t>
  </si>
  <si>
    <t>Boy college mrs.</t>
  </si>
  <si>
    <t>Price institution method inside.</t>
  </si>
  <si>
    <t>Onto worry help hope.</t>
  </si>
  <si>
    <t>Space beyond.</t>
  </si>
  <si>
    <t>Market specific property coach.</t>
  </si>
  <si>
    <t>Wide cut player wind.</t>
  </si>
  <si>
    <t>Degree enter father of source.</t>
  </si>
  <si>
    <t>Behind front attack song little.</t>
  </si>
  <si>
    <t>Somebody prepare few sound.</t>
  </si>
  <si>
    <t>Finish increase economy middle public.</t>
  </si>
  <si>
    <t>Thing physical might.</t>
  </si>
  <si>
    <t>Material produce station visit environmental.</t>
  </si>
  <si>
    <t>Table trade various risk art.</t>
  </si>
  <si>
    <t>Leg drive second she.</t>
  </si>
  <si>
    <t>Five store ask data.</t>
  </si>
  <si>
    <t>Statement position either.</t>
  </si>
  <si>
    <t>Draw change agree someone.</t>
  </si>
  <si>
    <t>Magazine yard instead town.</t>
  </si>
  <si>
    <t>Evening ahead smile.</t>
  </si>
  <si>
    <t>Compare system white magazine after.</t>
  </si>
  <si>
    <t>Own test too imagine.</t>
  </si>
  <si>
    <t>However style.</t>
  </si>
  <si>
    <t>Born same usually.</t>
  </si>
  <si>
    <t>Wear use edge this draw.</t>
  </si>
  <si>
    <t>Forget once hope security.</t>
  </si>
  <si>
    <t>Design blood degree ever.</t>
  </si>
  <si>
    <t>Television argue mouth.</t>
  </si>
  <si>
    <t>Nation little east everyone.</t>
  </si>
  <si>
    <t>Little happy final population.</t>
  </si>
  <si>
    <t>Real small.</t>
  </si>
  <si>
    <t>Need finally when.</t>
  </si>
  <si>
    <t>Movement door kind.</t>
  </si>
  <si>
    <t>Until truth feeling view.</t>
  </si>
  <si>
    <t>Decision three trouble.</t>
  </si>
  <si>
    <t>Smile ever bag single.</t>
  </si>
  <si>
    <t>Say unit four institution.</t>
  </si>
  <si>
    <t>Recognize media goal.</t>
  </si>
  <si>
    <t>Law agree appear political.</t>
  </si>
  <si>
    <t>Able customer figure.</t>
  </si>
  <si>
    <t>Book economic.</t>
  </si>
  <si>
    <t>Rate society floor long same.</t>
  </si>
  <si>
    <t>Reach step son.</t>
  </si>
  <si>
    <t>Increase consider.</t>
  </si>
  <si>
    <t>Difference way type positive phone.</t>
  </si>
  <si>
    <t>Cup red collection husband.</t>
  </si>
  <si>
    <t>Employee become happy water bring.</t>
  </si>
  <si>
    <t>Significant up still management.</t>
  </si>
  <si>
    <t>Course technology site.</t>
  </si>
  <si>
    <t>High issue deal democratic.</t>
  </si>
  <si>
    <t>Industry impact certainly.</t>
  </si>
  <si>
    <t>Dog late eat.</t>
  </si>
  <si>
    <t>Beat light the window.</t>
  </si>
  <si>
    <t>Require remain save.</t>
  </si>
  <si>
    <t>Believe arrive.</t>
  </si>
  <si>
    <t>Likely great paper.</t>
  </si>
  <si>
    <t>Effect people.</t>
  </si>
  <si>
    <t>Provide car throughout american.</t>
  </si>
  <si>
    <t>College manage fund.</t>
  </si>
  <si>
    <t>Bed report item.</t>
  </si>
  <si>
    <t>Finish without.</t>
  </si>
  <si>
    <t>Security unit executive.</t>
  </si>
  <si>
    <t>Stop unit might job close.</t>
  </si>
  <si>
    <t>New type pm.</t>
  </si>
  <si>
    <t>Country approach.</t>
  </si>
  <si>
    <t>Like clear.</t>
  </si>
  <si>
    <t>Break time manager kid.</t>
  </si>
  <si>
    <t>Leader both rest challenge.</t>
  </si>
  <si>
    <t>Data exist.</t>
  </si>
  <si>
    <t>State none production defense your.</t>
  </si>
  <si>
    <t>Short congress turn east marriage.</t>
  </si>
  <si>
    <t>Ago race quite hour.</t>
  </si>
  <si>
    <t>Child ball store process.</t>
  </si>
  <si>
    <t>Western order accept wide prevent.</t>
  </si>
  <si>
    <t>Water yourself trade someone.</t>
  </si>
  <si>
    <t>Tell soon executive.</t>
  </si>
  <si>
    <t>Natural own.</t>
  </si>
  <si>
    <t>Effort drive side human.</t>
  </si>
  <si>
    <t>Clear single expect.</t>
  </si>
  <si>
    <t>Fear song save.</t>
  </si>
  <si>
    <t>Capital program story mention majority.</t>
  </si>
  <si>
    <t>Environmental outside bed institution.</t>
  </si>
  <si>
    <t>Control piece behavior message wind.</t>
  </si>
  <si>
    <t>Us money positive.</t>
  </si>
  <si>
    <t>Life bad soon.</t>
  </si>
  <si>
    <t>Worker range feel.</t>
  </si>
  <si>
    <t>Into notice necessary true message.</t>
  </si>
  <si>
    <t>Including let result spend.</t>
  </si>
  <si>
    <t>One shoulder administration.</t>
  </si>
  <si>
    <t>Skill successful and.</t>
  </si>
  <si>
    <t>Finish right serious.</t>
  </si>
  <si>
    <t>Space game truth special decision.</t>
  </si>
  <si>
    <t>Else pull its adult house.</t>
  </si>
  <si>
    <t>Pretty least if.</t>
  </si>
  <si>
    <t>Peace wind guess.</t>
  </si>
  <si>
    <t>Because career course.</t>
  </si>
  <si>
    <t>Teacher decide possible.</t>
  </si>
  <si>
    <t>Success teach mrs beat.</t>
  </si>
  <si>
    <t>Listen against coach.</t>
  </si>
  <si>
    <t>White likely teacher one.</t>
  </si>
  <si>
    <t>Notice street anything.</t>
  </si>
  <si>
    <t>Piece require.</t>
  </si>
  <si>
    <t>Say other never fact.</t>
  </si>
  <si>
    <t>Main opportunity particularly question.</t>
  </si>
  <si>
    <t>Research month instead.</t>
  </si>
  <si>
    <t>As throughout individual list manager.</t>
  </si>
  <si>
    <t>Recently again explain court.</t>
  </si>
  <si>
    <t>Discussion detail training fund.</t>
  </si>
  <si>
    <t>Third rich hospital.</t>
  </si>
  <si>
    <t>Somebody son suddenly perform.</t>
  </si>
  <si>
    <t>Project can.</t>
  </si>
  <si>
    <t>Paper beyond indeed.</t>
  </si>
  <si>
    <t>Doctor news yourself.</t>
  </si>
  <si>
    <t>Ground city still.</t>
  </si>
  <si>
    <t>Southern front.</t>
  </si>
  <si>
    <t>Dinner no main year size.</t>
  </si>
  <si>
    <t>Environment character real middle prove.</t>
  </si>
  <si>
    <t>Sometimes while sense window.</t>
  </si>
  <si>
    <t>Among black picture that treat.</t>
  </si>
  <si>
    <t>Remain seven marriage.</t>
  </si>
  <si>
    <t>Positive free case.</t>
  </si>
  <si>
    <t>Wide shoulder according strong.</t>
  </si>
  <si>
    <t>Expert commercial entire resource.</t>
  </si>
  <si>
    <t>Picture early send morning.</t>
  </si>
  <si>
    <t>Soon including important.</t>
  </si>
  <si>
    <t>Some gun ahead certainly act.</t>
  </si>
  <si>
    <t>Be fire.</t>
  </si>
  <si>
    <t>Article service produce political.</t>
  </si>
  <si>
    <t>Within woman.</t>
  </si>
  <si>
    <t>Information though red.</t>
  </si>
  <si>
    <t>Training account evidence month.</t>
  </si>
  <si>
    <t>Land day name small.</t>
  </si>
  <si>
    <t>Thought sit identify culture.</t>
  </si>
  <si>
    <t>Already free.</t>
  </si>
  <si>
    <t>Yeah exist behavior necessary miss.</t>
  </si>
  <si>
    <t>Agreement someone.</t>
  </si>
  <si>
    <t>Strategy fight institution.</t>
  </si>
  <si>
    <t>Rule success.</t>
  </si>
  <si>
    <t>Medical buy series walk large.</t>
  </si>
  <si>
    <t>Law work.</t>
  </si>
  <si>
    <t>Research visit program suddenly doctor.</t>
  </si>
  <si>
    <t>Project spring of.</t>
  </si>
  <si>
    <t>Mind easy foreign old.</t>
  </si>
  <si>
    <t>Better republican stock bank.</t>
  </si>
  <si>
    <t>Thousand live land hard.</t>
  </si>
  <si>
    <t>Open million house enough.</t>
  </si>
  <si>
    <t>You ready way rule.</t>
  </si>
  <si>
    <t>Certain camera represent.</t>
  </si>
  <si>
    <t>Tell brother defense list second.</t>
  </si>
  <si>
    <t>Tv budget system book.</t>
  </si>
  <si>
    <t>Face mission brother figure hear.</t>
  </si>
  <si>
    <t>Agreement central six instead.</t>
  </si>
  <si>
    <t>Democratic standard major.</t>
  </si>
  <si>
    <t>Give that individual of not.</t>
  </si>
  <si>
    <t>Little result paper seven.</t>
  </si>
  <si>
    <t>Seven project chance road.</t>
  </si>
  <si>
    <t>Professor important do house must.</t>
  </si>
  <si>
    <t>Position tend religious.</t>
  </si>
  <si>
    <t>Someone religious night buy nice.</t>
  </si>
  <si>
    <t>My serious whatever miss seek.</t>
  </si>
  <si>
    <t>Build view.</t>
  </si>
  <si>
    <t>Ever day.</t>
  </si>
  <si>
    <t>Be move fly open.</t>
  </si>
  <si>
    <t>Future congress.</t>
  </si>
  <si>
    <t>Fish either boy between collection.</t>
  </si>
  <si>
    <t>Eight bed fill.</t>
  </si>
  <si>
    <t>Arrive which consider.</t>
  </si>
  <si>
    <t>Hope floor include.</t>
  </si>
  <si>
    <t>Heart still building.</t>
  </si>
  <si>
    <t>Sell only manage.</t>
  </si>
  <si>
    <t>We especially five network.</t>
  </si>
  <si>
    <t>Ahead plant trial affect.</t>
  </si>
  <si>
    <t>Push east never size fight.</t>
  </si>
  <si>
    <t>Base player data whose.</t>
  </si>
  <si>
    <t>World site mr interest treatment.</t>
  </si>
  <si>
    <t>A let.</t>
  </si>
  <si>
    <t>A value lot.</t>
  </si>
  <si>
    <t>Yourself successful defense subject.</t>
  </si>
  <si>
    <t>Claim move.</t>
  </si>
  <si>
    <t>Bed recognize store.</t>
  </si>
  <si>
    <t>There decision measure.</t>
  </si>
  <si>
    <t>Play woman remain event.</t>
  </si>
  <si>
    <t>Decision where foreign trial.</t>
  </si>
  <si>
    <t>Participant above.</t>
  </si>
  <si>
    <t>Including time reflect.</t>
  </si>
  <si>
    <t>Ball theory prepare much throughout.</t>
  </si>
  <si>
    <t>Good spend still.</t>
  </si>
  <si>
    <t>Concern should recent across.</t>
  </si>
  <si>
    <t>View know develop after.</t>
  </si>
  <si>
    <t>Course staff personal space.</t>
  </si>
  <si>
    <t>Woman whose already.</t>
  </si>
  <si>
    <t>Decide cultural start how thank.</t>
  </si>
  <si>
    <t>Management necessary process not.</t>
  </si>
  <si>
    <t>Assume campaign assume.</t>
  </si>
  <si>
    <t>Talk thing rock ever summer.</t>
  </si>
  <si>
    <t>Pass quite third ability interview.</t>
  </si>
  <si>
    <t>Item yet ever quite.</t>
  </si>
  <si>
    <t>Guess service this different.</t>
  </si>
  <si>
    <t>Mother first hot free.</t>
  </si>
  <si>
    <t>Wrong difficult.</t>
  </si>
  <si>
    <t>True culture.</t>
  </si>
  <si>
    <t>As personal agreement.</t>
  </si>
  <si>
    <t>Or phone.</t>
  </si>
  <si>
    <t>East list when.</t>
  </si>
  <si>
    <t>Mind door authority outside.</t>
  </si>
  <si>
    <t>Personal often.</t>
  </si>
  <si>
    <t>True help.</t>
  </si>
  <si>
    <t>Artist sort area.</t>
  </si>
  <si>
    <t>Big argue.</t>
  </si>
  <si>
    <t>Sure i pay.</t>
  </si>
  <si>
    <t>Ten skin perhaps.</t>
  </si>
  <si>
    <t>Less into per big.</t>
  </si>
  <si>
    <t>Military onto blue activity.</t>
  </si>
  <si>
    <t>Smile cover of pm eight.</t>
  </si>
  <si>
    <t>Right know during someone.</t>
  </si>
  <si>
    <t>Find job where.</t>
  </si>
  <si>
    <t>On must certainly.</t>
  </si>
  <si>
    <t>Owner fact wife.</t>
  </si>
  <si>
    <t>Price certain down standard nice.</t>
  </si>
  <si>
    <t>Gas with policy cut.</t>
  </si>
  <si>
    <t>Country little reality level.</t>
  </si>
  <si>
    <t>Not friend federal forget bit.</t>
  </si>
  <si>
    <t>Detail about development discover.</t>
  </si>
  <si>
    <t>Lose shoulder spring.</t>
  </si>
  <si>
    <t>Hundred step according.</t>
  </si>
  <si>
    <t>Group never.</t>
  </si>
  <si>
    <t>Key place tree.</t>
  </si>
  <si>
    <t>Wish current.</t>
  </si>
  <si>
    <t>Despite energy company.</t>
  </si>
  <si>
    <t>Condition again successful.</t>
  </si>
  <si>
    <t>Story case.</t>
  </si>
  <si>
    <t>Very figure drive special.</t>
  </si>
  <si>
    <t>With young think there assume.</t>
  </si>
  <si>
    <t>Some court her.</t>
  </si>
  <si>
    <t>Outside with each animal.</t>
  </si>
  <si>
    <t>Take family chance.</t>
  </si>
  <si>
    <t>Picture evidence.</t>
  </si>
  <si>
    <t>Why though decide bank likely.</t>
  </si>
  <si>
    <t>Meet seem population.</t>
  </si>
  <si>
    <t>Material less focus hear.</t>
  </si>
  <si>
    <t>Listen ok point so.</t>
  </si>
  <si>
    <t>Detail data tell.</t>
  </si>
  <si>
    <t>Fill thousand number.</t>
  </si>
  <si>
    <t>Nearly care base.</t>
  </si>
  <si>
    <t>Goal once let perform international.</t>
  </si>
  <si>
    <t>Important source first him.</t>
  </si>
  <si>
    <t>Doctor population grow bar.</t>
  </si>
  <si>
    <t>National back everybody direction budget.</t>
  </si>
  <si>
    <t>National free.</t>
  </si>
  <si>
    <t>Few spring raise.</t>
  </si>
  <si>
    <t>Relationship your your.</t>
  </si>
  <si>
    <t>Across federal state.</t>
  </si>
  <si>
    <t>State serious activity pressure.</t>
  </si>
  <si>
    <t>Dinner rich decide do.</t>
  </si>
  <si>
    <t>Serious reveal left social fine.</t>
  </si>
  <si>
    <t>Show recently decide last.</t>
  </si>
  <si>
    <t>Hear officer.</t>
  </si>
  <si>
    <t>Wall act special.</t>
  </si>
  <si>
    <t>Different international sell several.</t>
  </si>
  <si>
    <t>For age size.</t>
  </si>
  <si>
    <t>With yes nothing.</t>
  </si>
  <si>
    <t>Woman daughter hospital move.</t>
  </si>
  <si>
    <t>Board notice later thus.</t>
  </si>
  <si>
    <t>Bit need allow.</t>
  </si>
  <si>
    <t>Cost attorney.</t>
  </si>
  <si>
    <t>Day fact modern.</t>
  </si>
  <si>
    <t>Happy action.</t>
  </si>
  <si>
    <t>Hospital writer can industry.</t>
  </si>
  <si>
    <t>Western tend candidate day.</t>
  </si>
  <si>
    <t>City offer financial data.</t>
  </si>
  <si>
    <t>Cut yard knowledge.</t>
  </si>
  <si>
    <t>Space moment travel these least.</t>
  </si>
  <si>
    <t>Say explain.</t>
  </si>
  <si>
    <t>Red republican father party.</t>
  </si>
  <si>
    <t>Eat tonight run leader.</t>
  </si>
  <si>
    <t>Believe recognize analysis those citizen.</t>
  </si>
  <si>
    <t>Project at risk.</t>
  </si>
  <si>
    <t>In seven building hard.</t>
  </si>
  <si>
    <t>Short for late education.</t>
  </si>
  <si>
    <t>Left available.</t>
  </si>
  <si>
    <t>Gas human create also.</t>
  </si>
  <si>
    <t>Remember carry.</t>
  </si>
  <si>
    <t>Leave bar prevent require.</t>
  </si>
  <si>
    <t>Likely evidence claim.</t>
  </si>
  <si>
    <t>Beyond family movement hospital back.</t>
  </si>
  <si>
    <t>Child group describe.</t>
  </si>
  <si>
    <t>Democratic recent student specific political.</t>
  </si>
  <si>
    <t>Real know our any.</t>
  </si>
  <si>
    <t>Up hear draw.</t>
  </si>
  <si>
    <t>Instead writer.</t>
  </si>
  <si>
    <t>Quite as when.</t>
  </si>
  <si>
    <t>Right analysis mention.</t>
  </si>
  <si>
    <t>No couple debate must.</t>
  </si>
  <si>
    <t>Discussion black follow.</t>
  </si>
  <si>
    <t>Pressure activity defense detail.</t>
  </si>
  <si>
    <t>goals</t>
  </si>
  <si>
    <t>Sum of Amount</t>
  </si>
  <si>
    <t>year1</t>
  </si>
  <si>
    <t>Year</t>
  </si>
  <si>
    <t>Row Labels</t>
  </si>
  <si>
    <t>Grand Total</t>
  </si>
  <si>
    <t>Month</t>
  </si>
  <si>
    <t>MonthNum</t>
  </si>
  <si>
    <t>Monthly Expenses</t>
  </si>
  <si>
    <t>Net Cash Flow</t>
  </si>
  <si>
    <t>Expense Amount</t>
  </si>
  <si>
    <t>Annual Income</t>
  </si>
  <si>
    <t>Income Amount</t>
  </si>
  <si>
    <t>Monthly Income by Year</t>
  </si>
  <si>
    <t>Use the Year slicer to switch years. Monthly income is calculated from all Income transactions in the Data table.</t>
  </si>
  <si>
    <t>Monthly Income</t>
  </si>
  <si>
    <t>total</t>
  </si>
  <si>
    <t>2022</t>
  </si>
  <si>
    <t>2023 Investment Income Line Graph</t>
  </si>
  <si>
    <t>Monthly Investment income in 2023, calculated from the Data table.</t>
  </si>
  <si>
    <t>Investment Income</t>
  </si>
  <si>
    <t>Jan</t>
  </si>
  <si>
    <t>Feb</t>
  </si>
  <si>
    <t>Mar</t>
  </si>
  <si>
    <t>Apr</t>
  </si>
  <si>
    <t>May</t>
  </si>
  <si>
    <t>Jun</t>
  </si>
  <si>
    <t>Jul</t>
  </si>
  <si>
    <t>Aug</t>
  </si>
  <si>
    <t>Sep</t>
  </si>
  <si>
    <t>Oct</t>
  </si>
  <si>
    <t>Nov</t>
  </si>
  <si>
    <t>Dec</t>
  </si>
  <si>
    <t>assets</t>
  </si>
  <si>
    <t>value</t>
  </si>
  <si>
    <t>house</t>
  </si>
  <si>
    <t>car</t>
  </si>
  <si>
    <t>jewlery</t>
  </si>
  <si>
    <t>savings</t>
  </si>
  <si>
    <t>depts</t>
  </si>
  <si>
    <t>student loans</t>
  </si>
  <si>
    <t>actual</t>
  </si>
  <si>
    <t xml:space="preserve">actual </t>
  </si>
  <si>
    <t>savings goal</t>
  </si>
  <si>
    <t>expense goal</t>
  </si>
  <si>
    <t>income type</t>
  </si>
  <si>
    <t>income</t>
  </si>
  <si>
    <t xml:space="preserve">other </t>
  </si>
  <si>
    <t>investments</t>
  </si>
  <si>
    <t>earned income</t>
  </si>
  <si>
    <t>passive income</t>
  </si>
  <si>
    <t>income source</t>
  </si>
  <si>
    <t xml:space="preserve">income </t>
  </si>
  <si>
    <t xml:space="preserve">spending source </t>
  </si>
  <si>
    <t>deduction</t>
  </si>
  <si>
    <t xml:space="preserve">expense type </t>
  </si>
  <si>
    <t xml:space="preserve">income tax </t>
  </si>
  <si>
    <t>2023 expense amount</t>
  </si>
  <si>
    <t>core expense</t>
  </si>
  <si>
    <t>extra</t>
  </si>
  <si>
    <t xml:space="preserve">income tax was calcated from income using 2023 tax calc </t>
  </si>
  <si>
    <t>2023 Income Source Data</t>
  </si>
  <si>
    <t>Income totals by source for 2023, pulled live from Personal_Finance_Dataset.</t>
  </si>
  <si>
    <t>Income Source</t>
  </si>
  <si>
    <t>2023 Income</t>
  </si>
  <si>
    <t>Share of Income</t>
  </si>
  <si>
    <t>Total</t>
  </si>
  <si>
    <t>Tie-out</t>
  </si>
  <si>
    <t>Annual income sheet 2023</t>
  </si>
  <si>
    <t>Difference</t>
  </si>
  <si>
    <t>sankey cash flow diagram made using sankeu matic</t>
  </si>
  <si>
    <t>https://sankeymatic.com/build/?i=PIFwFgpgTgBA2gDgCwHYDMKC6MCiBDKAOwgBMYBJQgYwHsBbCAKEoDcIBnEBwkd%2BARgAMSQSgCs2AAp527AJZsK1ek0b4ipJbQbxk6LDAAqNEHgA2WlY2myFESzrhCR47MdMXK21QBEIAMzkqORABACYATgA2IQA6aLcTcwdVd2SvFQEEbP4w7AyGRmZlR34IpGixWKikbABhGih7HAAPAAcIQnYmAvtECLL%2BWIQJXBaQKDxi73gxMSi0MNiRbD8SAFcqEDkaQiKGprGOrr6kfmzBWJR%2BbAAxGhoyADIYHyg5QgBrRgPm9s7uvARPwUChYmI8jAABIQczgGAvW4hYiyH6NP7HQFwND8JBoJBXCLYABKnRAaMOrUxfTCaCigiisTCkIAymAaG02h8AOYUjEAvp0ioIZYGACq2zMITkHCKrQmeCBzPmsTQoxwPGgpg%2B3HJ8smQKiETV4MEbkmbDMRTWm22u1m80WyzNKSMeBajHkAC97AB3GBCQSCRgwGBgGD04N0Ajcj4wCy5EMwWCJ0Ohc5JgBGMDCwcz3JgtDMjRgAGJ%2DBXK0mFV02gQyTAAHKMQiPP054Oh8MLJPsOvBQgFwNZxokaAwTswcAQHRUJNFkul7LLhBJjl4YIgACeAcY%2DmL%2Dqo6ygLDwIGP9kuSDCSY%2BkHeIH8UHoMBo614cjHAFoPvOaMXYFLCJgJAtd%2BxCHcrzERgzDwLc31CUdxzwd96DPIIkwAK3WTg5H8eD3ljLomywnDtnwzoSD4ZtQyaNgoG6blJjacMaJgM9TCoMAPm0NozAgEAOBAGgYGIetOBgvBMwgMw%2BAXQCg0UyduLHEiuzkbkwClTTQkuVdQ38XZHw3ex2DwLov26d5%2DCTKUUXAwcJyZJMmlg7Y2G9exh1DaNuUIPCd1yYNYOksxCDwHQ8E5WEGJgABNXs5B9HNoNDX0IA0sBQhEYKpJk08zHWewoo6Ag%2BASgz1jMMw2iaYJ5HtCqYDaGh5DtQgYFCmhfSTdLMuyoNJNClq2p2DqUOE8wNI6yd2C4mditQpNAgY0JpMMposyaPBPhaj5QhQRgCqKmANujUIAHIABpYgupNaoCOQWhgC67tDdh1grJ6Xru6cGBoCtulCRU0CzGAInnGBDtDMgowExVdTGsyvggLdzqCeLbLkXC6EzcxzKoDh4q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</si>
</sst>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F800]dddd\,\ mmmm\ dd\,\ yyyy"/>
    <numFmt numFmtId="165" formatCode="[$$-409]#,##0.00"/>
    <numFmt numFmtId="166" formatCode="&quot;$&quot;#,##0.00"/>
    <numFmt numFmtId="168" formatCode="&quot;$&quot;#,##0.00;[Red]\-&quot;$&quot;#,##0.00;&quot;$&quot;0.00"/>
    <numFmt numFmtId="169" formatCode="0.0%"/>
  </numFmts>
  <fonts count="11" x14ac:knownFonts="1">
    <font>
      <sz val="11"/>
      <color theme="1"/>
      <name val="Calibri"/>
      <family val="2"/>
      <scheme val="minor"/>
    </font>
    <font>
      <u/>
      <sz val="11"/>
      <color theme="10"/>
      <name val="Calibri"/>
      <family val="2"/>
      <scheme val="minor"/>
    </font>
    <font>
      <b/>
      <sz val="13"/>
      <color theme="3"/>
      <name val="Calibri"/>
      <family val="2"/>
      <scheme val="minor"/>
    </font>
    <font>
      <b/>
      <sz val="13"/>
      <color theme="0"/>
      <name val="Calibri"/>
      <family val="2"/>
      <scheme val="minor"/>
    </font>
    <font>
      <b/>
      <sz val="11"/>
      <color rgb="FFFFFFFF"/>
      <name val="Calibri"/>
      <family val="2"/>
      <scheme val="minor"/>
    </font>
    <font>
      <b/>
      <sz val="18"/>
      <color rgb="FFFFFFFF"/>
      <name val="Calibri"/>
      <family val="2"/>
      <scheme val="minor"/>
    </font>
    <font>
      <i/>
      <sz val="11"/>
      <color rgb="FF666666"/>
      <name val="Calibri"/>
      <family val="2"/>
      <scheme val="minor"/>
    </font>
    <font>
      <sz val="11"/>
      <color theme="1"/>
      <name val="Abadi"/>
      <family val="2"/>
    </font>
    <font>
      <b/>
      <sz val="11"/>
      <color theme="0"/>
      <name val="Calibri"/>
      <family val="2"/>
      <scheme val="minor"/>
    </font>
    <font>
      <sz val="11"/>
      <color theme="0"/>
      <name val="Calibri"/>
      <family val="2"/>
      <scheme val="minor"/>
    </font>
    <font>
      <b/>
      <sz val="11"/>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4" tint="0.79998168889431442"/>
        <bgColor theme="4" tint="0.79998168889431442"/>
      </patternFill>
    </fill>
    <fill>
      <patternFill patternType="solid">
        <fgColor rgb="FF1F4E78"/>
        <bgColor indexed="64"/>
      </patternFill>
    </fill>
    <fill>
      <patternFill patternType="solid">
        <fgColor theme="0"/>
        <bgColor indexed="64"/>
      </patternFill>
    </fill>
    <fill>
      <patternFill patternType="solid">
        <fgColor rgb="FF05000C"/>
        <bgColor indexed="64"/>
      </patternFill>
    </fill>
    <fill>
      <patternFill patternType="solid">
        <fgColor rgb="FFA5A5A5"/>
      </patternFill>
    </fill>
    <fill>
      <patternFill patternType="solid">
        <fgColor rgb="FF5B9BD5"/>
        <bgColor indexed="64"/>
      </patternFill>
    </fill>
    <fill>
      <patternFill patternType="solid">
        <fgColor rgb="FFD9EAF7"/>
        <bgColor indexed="64"/>
      </patternFill>
    </fill>
  </fills>
  <borders count="1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double">
        <color rgb="FF3F3F3F"/>
      </left>
      <right style="double">
        <color rgb="FF3F3F3F"/>
      </right>
      <top style="double">
        <color rgb="FF3F3F3F"/>
      </top>
      <bottom style="double">
        <color rgb="FF3F3F3F"/>
      </bottom>
      <diagonal/>
    </border>
    <border>
      <left/>
      <right/>
      <top/>
      <bottom style="thin">
        <color rgb="FFD9EAF7"/>
      </bottom>
      <diagonal/>
    </border>
    <border>
      <left/>
      <right/>
      <top style="thin">
        <color rgb="FFD9EAF7"/>
      </top>
      <bottom style="thin">
        <color rgb="FFD9EAF7"/>
      </bottom>
      <diagonal/>
    </border>
    <border>
      <left/>
      <right/>
      <top style="thin">
        <color rgb="FFD9EAF7"/>
      </top>
      <bottom/>
      <diagonal/>
    </border>
  </borders>
  <cellStyleXfs count="4">
    <xf numFmtId="0" fontId="0" fillId="0" borderId="0"/>
    <xf numFmtId="0" fontId="1" fillId="0" borderId="0" applyNumberFormat="0" applyFill="0" applyBorder="0" applyAlignment="0" applyProtection="0"/>
    <xf numFmtId="0" fontId="2" fillId="0" borderId="1" applyNumberFormat="0" applyFill="0" applyAlignment="0" applyProtection="0"/>
    <xf numFmtId="0" fontId="8" fillId="9" borderId="7" applyNumberFormat="0" applyAlignment="0" applyProtection="0"/>
  </cellStyleXfs>
  <cellXfs count="47">
    <xf numFmtId="0" fontId="0" fillId="0" borderId="0" xfId="0"/>
    <xf numFmtId="0" fontId="0" fillId="2" borderId="0" xfId="0" applyFill="1"/>
    <xf numFmtId="0" fontId="0" fillId="3" borderId="0" xfId="0" applyFill="1"/>
    <xf numFmtId="0" fontId="3" fillId="4" borderId="1" xfId="2" applyFont="1" applyFill="1"/>
    <xf numFmtId="164" fontId="0" fillId="3" borderId="0" xfId="0" applyNumberFormat="1" applyFill="1"/>
    <xf numFmtId="0" fontId="0" fillId="0" borderId="0" xfId="0" pivotButton="1"/>
    <xf numFmtId="164" fontId="3" fillId="4" borderId="0" xfId="2" applyNumberFormat="1" applyFont="1" applyFill="1" applyBorder="1"/>
    <xf numFmtId="0" fontId="3" fillId="4" borderId="0" xfId="2" applyFont="1" applyFill="1" applyBorder="1"/>
    <xf numFmtId="164" fontId="0" fillId="3" borderId="2" xfId="0" applyNumberFormat="1" applyFill="1" applyBorder="1"/>
    <xf numFmtId="0" fontId="0" fillId="3" borderId="2" xfId="0" applyFill="1" applyBorder="1"/>
    <xf numFmtId="0" fontId="0" fillId="0" borderId="0" xfId="0" applyAlignment="1">
      <alignment horizontal="left"/>
    </xf>
    <xf numFmtId="1" fontId="0" fillId="3" borderId="4" xfId="0" applyNumberFormat="1" applyFill="1" applyBorder="1"/>
    <xf numFmtId="1" fontId="0" fillId="3" borderId="2" xfId="0" applyNumberFormat="1" applyFill="1" applyBorder="1"/>
    <xf numFmtId="1" fontId="0" fillId="3" borderId="3" xfId="0" applyNumberFormat="1" applyFill="1" applyBorder="1"/>
    <xf numFmtId="16" fontId="0" fillId="0" borderId="0" xfId="0" applyNumberFormat="1"/>
    <xf numFmtId="0" fontId="4" fillId="6" borderId="0" xfId="0" applyFont="1" applyFill="1"/>
    <xf numFmtId="165" fontId="0" fillId="0" borderId="0" xfId="0" applyNumberFormat="1"/>
    <xf numFmtId="164" fontId="0" fillId="0" borderId="0" xfId="0" applyNumberFormat="1"/>
    <xf numFmtId="16" fontId="0" fillId="5" borderId="5" xfId="0" applyNumberFormat="1" applyFill="1" applyBorder="1"/>
    <xf numFmtId="16" fontId="0" fillId="0" borderId="5" xfId="0" applyNumberFormat="1" applyBorder="1"/>
    <xf numFmtId="0" fontId="0" fillId="7" borderId="0" xfId="0" applyFill="1"/>
    <xf numFmtId="0" fontId="7" fillId="7" borderId="0" xfId="0" applyFont="1" applyFill="1"/>
    <xf numFmtId="165" fontId="0" fillId="5" borderId="6" xfId="0" applyNumberFormat="1" applyFill="1" applyBorder="1"/>
    <xf numFmtId="165" fontId="0" fillId="0" borderId="6" xfId="0" applyNumberFormat="1" applyBorder="1"/>
    <xf numFmtId="0" fontId="1" fillId="8" borderId="0" xfId="1" applyFill="1"/>
    <xf numFmtId="0" fontId="0" fillId="8" borderId="0" xfId="0" applyFill="1"/>
    <xf numFmtId="0" fontId="8" fillId="2" borderId="7" xfId="3" applyFill="1"/>
    <xf numFmtId="0" fontId="9" fillId="2" borderId="0" xfId="0" applyFont="1" applyFill="1"/>
    <xf numFmtId="8" fontId="0" fillId="0" borderId="0" xfId="0" applyNumberFormat="1"/>
    <xf numFmtId="166" fontId="0" fillId="0" borderId="0" xfId="0" applyNumberFormat="1"/>
    <xf numFmtId="0" fontId="0" fillId="0" borderId="0" xfId="0" applyAlignment="1">
      <alignment wrapText="1"/>
    </xf>
    <xf numFmtId="0" fontId="5" fillId="6" borderId="0" xfId="0" applyFont="1" applyFill="1"/>
    <xf numFmtId="0" fontId="0" fillId="0" borderId="0" xfId="0"/>
    <xf numFmtId="0" fontId="6" fillId="0" borderId="0" xfId="0" applyFont="1" applyAlignment="1">
      <alignment wrapText="1"/>
    </xf>
    <xf numFmtId="0" fontId="5" fillId="6" borderId="0" xfId="0" applyFont="1" applyFill="1" applyAlignment="1">
      <alignment horizontal="center"/>
    </xf>
    <xf numFmtId="0" fontId="4" fillId="10" borderId="8" xfId="0" applyFont="1" applyFill="1" applyBorder="1" applyAlignment="1">
      <alignment horizontal="center"/>
    </xf>
    <xf numFmtId="0" fontId="0" fillId="0" borderId="9" xfId="0" applyBorder="1"/>
    <xf numFmtId="166" fontId="0" fillId="0" borderId="9" xfId="0" applyNumberFormat="1" applyBorder="1"/>
    <xf numFmtId="169" fontId="0" fillId="0" borderId="9" xfId="0" applyNumberFormat="1" applyBorder="1"/>
    <xf numFmtId="0" fontId="10" fillId="11" borderId="10" xfId="0" applyFont="1" applyFill="1" applyBorder="1"/>
    <xf numFmtId="166" fontId="10" fillId="11" borderId="10" xfId="0" applyNumberFormat="1" applyFont="1" applyFill="1" applyBorder="1"/>
    <xf numFmtId="169" fontId="10" fillId="11" borderId="10" xfId="0" applyNumberFormat="1" applyFont="1" applyFill="1" applyBorder="1"/>
    <xf numFmtId="0" fontId="4" fillId="10" borderId="8" xfId="0" applyFont="1" applyFill="1" applyBorder="1"/>
    <xf numFmtId="168" fontId="0" fillId="0" borderId="9" xfId="0" applyNumberFormat="1" applyBorder="1"/>
    <xf numFmtId="0" fontId="10" fillId="0" borderId="10" xfId="0" applyFont="1" applyBorder="1"/>
    <xf numFmtId="168" fontId="10" fillId="0" borderId="10" xfId="0" applyNumberFormat="1" applyFont="1" applyBorder="1"/>
    <xf numFmtId="0" fontId="8" fillId="2" borderId="0" xfId="0" applyFont="1" applyFill="1"/>
  </cellXfs>
  <cellStyles count="4">
    <cellStyle name="Check Cell" xfId="3" builtinId="23"/>
    <cellStyle name="Heading 2" xfId="2" builtinId="17"/>
    <cellStyle name="Hyperlink" xfId="1" builtinId="8"/>
    <cellStyle name="Normal" xfId="0" builtinId="0"/>
  </cellStyles>
  <dxfs count="22">
    <dxf>
      <font>
        <b/>
        <i val="0"/>
        <strike val="0"/>
        <condense val="0"/>
        <extend val="0"/>
        <outline val="0"/>
        <shadow val="0"/>
        <u val="none"/>
        <vertAlign val="baseline"/>
        <sz val="11"/>
        <color rgb="FFFFFFFF"/>
        <name val="Calibri"/>
        <family val="2"/>
        <scheme val="minor"/>
      </font>
      <fill>
        <patternFill patternType="solid">
          <fgColor indexed="64"/>
          <bgColor rgb="FF5B9BD5"/>
        </patternFill>
      </fill>
      <alignment horizontal="center" vertical="bottom" textRotation="0" wrapText="0" indent="0" justifyLastLine="0" shrinkToFit="0" readingOrder="0"/>
    </dxf>
    <dxf>
      <border outline="0">
        <bottom style="thin">
          <color rgb="FFD9EAF7"/>
        </bottom>
      </border>
    </dxf>
    <dxf>
      <numFmt numFmtId="165" formatCode="[$$-409]#,##0.00"/>
    </dxf>
    <dxf>
      <font>
        <b/>
        <color rgb="FFFFFFFF"/>
      </font>
      <fill>
        <patternFill patternType="solid">
          <fgColor indexed="64"/>
          <bgColor rgb="FF1F4E78"/>
        </patternFill>
      </fill>
    </dxf>
    <dxf>
      <numFmt numFmtId="165" formatCode="[$$-409]#,##0.00"/>
    </dxf>
    <dxf>
      <numFmt numFmtId="21" formatCode="d\-mmm"/>
    </dxf>
    <dxf>
      <font>
        <b/>
        <color rgb="FFFFFFFF"/>
      </font>
      <fill>
        <patternFill patternType="solid">
          <fgColor indexed="64"/>
          <bgColor rgb="FF1F4E78"/>
        </patternFill>
      </fill>
    </dxf>
    <dxf>
      <numFmt numFmtId="165" formatCode="[$$-409]#,##0.00"/>
    </dxf>
    <dxf>
      <font>
        <b/>
        <color rgb="FFFFFFFF"/>
      </font>
      <fill>
        <patternFill patternType="solid">
          <fgColor indexed="64"/>
          <bgColor rgb="FF1F4E78"/>
        </patternFill>
      </fill>
    </dxf>
    <dxf>
      <numFmt numFmtId="165" formatCode="[$$-409]#,##0.00"/>
    </dxf>
    <dxf>
      <font>
        <b/>
        <color rgb="FFFFFFFF"/>
      </font>
      <fill>
        <patternFill patternType="solid">
          <fgColor indexed="64"/>
          <bgColor rgb="FF1F4E78"/>
        </patternFill>
      </fill>
    </dxf>
    <dxf>
      <numFmt numFmtId="165" formatCode="[$$-409]#,##0.00"/>
    </dxf>
    <dxf>
      <numFmt numFmtId="165" formatCode="[$$-409]#,##0.00"/>
    </dxf>
    <dxf>
      <numFmt numFmtId="21" formatCode="d\-mmm"/>
    </dxf>
    <dxf>
      <numFmt numFmtId="1" formatCode="0"/>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800]dddd\,\ mmmm\ dd\,\ yyyy"/>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dxf>
    <dxf>
      <font>
        <strike val="0"/>
        <outline val="0"/>
        <shadow val="0"/>
        <u val="none"/>
        <vertAlign val="baseline"/>
        <sz val="13"/>
        <color theme="0"/>
        <name val="Calibri"/>
        <family val="2"/>
        <scheme val="minor"/>
      </font>
      <fill>
        <patternFill patternType="solid">
          <fgColor indexed="64"/>
          <bgColor theme="1" tint="4.9989318521683403E-2"/>
        </patternFill>
      </fill>
    </dxf>
  </dxfs>
  <tableStyles count="0" defaultTableStyle="TableStyleMedium2" defaultPivotStyle="PivotStyleMedium9"/>
  <colors>
    <mruColors>
      <color rgb="FF17CBA0"/>
      <color rgb="FF05000C"/>
      <color rgb="FF030010"/>
      <color rgb="FF090022"/>
      <color rgb="FF10003E"/>
      <color rgb="FF0C001E"/>
      <color rgb="FF000000"/>
      <color rgb="FF09002E"/>
      <color rgb="FF000066"/>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r>
              <a:rPr lang="en-GB"/>
              <a:t>Income Source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endParaRPr lang="en-US"/>
        </a:p>
      </c:txPr>
    </c:title>
    <c:autoTitleDeleted val="0"/>
    <c:plotArea>
      <c:layout/>
      <c:barChart>
        <c:barDir val="col"/>
        <c:grouping val="clustered"/>
        <c:varyColors val="0"/>
        <c:ser>
          <c:idx val="0"/>
          <c:order val="0"/>
          <c:tx>
            <c:strRef>
              <c:f>'income source'!$A$2</c:f>
              <c:strCache>
                <c:ptCount val="1"/>
                <c:pt idx="0">
                  <c:v>Investment</c:v>
                </c:pt>
              </c:strCache>
            </c:strRef>
          </c:tx>
          <c:spPr>
            <a:solidFill>
              <a:srgbClr val="000000">
                <a:alpha val="34902"/>
              </a:srgbClr>
            </a:solidFill>
            <a:ln>
              <a:noFill/>
            </a:ln>
            <a:effectLst/>
          </c:spPr>
          <c:invertIfNegative val="0"/>
          <c:cat>
            <c:strRef>
              <c:f>'income source'!$B$1</c:f>
              <c:strCache>
                <c:ptCount val="1"/>
                <c:pt idx="0">
                  <c:v>Income Amount</c:v>
                </c:pt>
              </c:strCache>
            </c:strRef>
          </c:cat>
          <c:val>
            <c:numRef>
              <c:f>'income source'!$B$2</c:f>
              <c:numCache>
                <c:formatCode>[$$-409]#,##0.00</c:formatCode>
                <c:ptCount val="1"/>
                <c:pt idx="0">
                  <c:v>363252</c:v>
                </c:pt>
              </c:numCache>
            </c:numRef>
          </c:val>
          <c:extLst>
            <c:ext xmlns:c16="http://schemas.microsoft.com/office/drawing/2014/chart" uri="{C3380CC4-5D6E-409C-BE32-E72D297353CC}">
              <c16:uniqueId val="{00000000-31D3-452E-9163-5CFC75845141}"/>
            </c:ext>
          </c:extLst>
        </c:ser>
        <c:ser>
          <c:idx val="1"/>
          <c:order val="1"/>
          <c:tx>
            <c:strRef>
              <c:f>'income source'!$A$3</c:f>
              <c:strCache>
                <c:ptCount val="1"/>
                <c:pt idx="0">
                  <c:v>Other</c:v>
                </c:pt>
              </c:strCache>
            </c:strRef>
          </c:tx>
          <c:spPr>
            <a:solidFill>
              <a:srgbClr val="CC9900">
                <a:alpha val="50196"/>
              </a:srgbClr>
            </a:solidFill>
            <a:ln>
              <a:noFill/>
            </a:ln>
            <a:effectLst/>
          </c:spPr>
          <c:invertIfNegative val="0"/>
          <c:cat>
            <c:strRef>
              <c:f>'income source'!$B$1</c:f>
              <c:strCache>
                <c:ptCount val="1"/>
                <c:pt idx="0">
                  <c:v>Income Amount</c:v>
                </c:pt>
              </c:strCache>
            </c:strRef>
          </c:cat>
          <c:val>
            <c:numRef>
              <c:f>'income source'!$B$3</c:f>
              <c:numCache>
                <c:formatCode>[$$-409]#,##0.00</c:formatCode>
                <c:ptCount val="1"/>
                <c:pt idx="0">
                  <c:v>370835</c:v>
                </c:pt>
              </c:numCache>
            </c:numRef>
          </c:val>
          <c:extLst>
            <c:ext xmlns:c16="http://schemas.microsoft.com/office/drawing/2014/chart" uri="{C3380CC4-5D6E-409C-BE32-E72D297353CC}">
              <c16:uniqueId val="{00000001-31D3-452E-9163-5CFC75845141}"/>
            </c:ext>
          </c:extLst>
        </c:ser>
        <c:dLbls>
          <c:showLegendKey val="0"/>
          <c:showVal val="0"/>
          <c:showCatName val="0"/>
          <c:showSerName val="0"/>
          <c:showPercent val="0"/>
          <c:showBubbleSize val="0"/>
        </c:dLbls>
        <c:gapWidth val="80"/>
        <c:overlap val="25"/>
        <c:axId val="1392148464"/>
        <c:axId val="1288171056"/>
      </c:barChart>
      <c:catAx>
        <c:axId val="13921484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US"/>
          </a:p>
        </c:txPr>
        <c:crossAx val="1288171056"/>
        <c:crosses val="autoZero"/>
        <c:auto val="1"/>
        <c:lblAlgn val="ctr"/>
        <c:lblOffset val="100"/>
        <c:noMultiLvlLbl val="0"/>
      </c:catAx>
      <c:valAx>
        <c:axId val="1288171056"/>
        <c:scaling>
          <c:orientation val="minMax"/>
          <c:min val="250000"/>
        </c:scaling>
        <c:delete val="0"/>
        <c:axPos val="l"/>
        <c:majorGridlines>
          <c:spPr>
            <a:ln w="9525" cap="flat" cmpd="sng" algn="ctr">
              <a:solidFill>
                <a:schemeClr val="tx1">
                  <a:lumMod val="5000"/>
                  <a:lumOff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39214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014581738015281E-2"/>
          <c:y val="0.1790555133794807"/>
          <c:w val="0.8631877437868033"/>
          <c:h val="0.61691189452913175"/>
        </c:manualLayout>
      </c:layout>
      <c:bar3DChart>
        <c:barDir val="bar"/>
        <c:grouping val="stacked"/>
        <c:varyColors val="0"/>
        <c:ser>
          <c:idx val="0"/>
          <c:order val="0"/>
          <c:tx>
            <c:strRef>
              <c:f>'annual income'!$B$1</c:f>
              <c:strCache>
                <c:ptCount val="1"/>
                <c:pt idx="0">
                  <c:v>Annual Income</c:v>
                </c:pt>
              </c:strCache>
            </c:strRef>
          </c:tx>
          <c:spPr>
            <a:solidFill>
              <a:schemeClr val="accent4"/>
            </a:solidFill>
            <a:ln>
              <a:noFill/>
            </a:ln>
            <a:effectLst/>
            <a:sp3d/>
          </c:spPr>
          <c:invertIfNegative val="0"/>
          <c:val>
            <c:numRef>
              <c:f>'annual income'!$B$2:$B$6</c:f>
              <c:numCache>
                <c:formatCode>[$$-409]#,##0.00</c:formatCode>
                <c:ptCount val="5"/>
                <c:pt idx="0">
                  <c:v>147100</c:v>
                </c:pt>
                <c:pt idx="1">
                  <c:v>190995</c:v>
                </c:pt>
                <c:pt idx="2">
                  <c:v>180409</c:v>
                </c:pt>
                <c:pt idx="3">
                  <c:v>188812</c:v>
                </c:pt>
                <c:pt idx="4">
                  <c:v>26771</c:v>
                </c:pt>
              </c:numCache>
            </c:numRef>
          </c:val>
          <c:extLst>
            <c:ext xmlns:c16="http://schemas.microsoft.com/office/drawing/2014/chart" uri="{C3380CC4-5D6E-409C-BE32-E72D297353CC}">
              <c16:uniqueId val="{00000000-2C7F-454A-B324-D9ADCD529CC2}"/>
            </c:ext>
          </c:extLst>
        </c:ser>
        <c:dLbls>
          <c:showLegendKey val="0"/>
          <c:showVal val="0"/>
          <c:showCatName val="0"/>
          <c:showSerName val="0"/>
          <c:showPercent val="0"/>
          <c:showBubbleSize val="0"/>
        </c:dLbls>
        <c:gapWidth val="150"/>
        <c:shape val="box"/>
        <c:axId val="2094476416"/>
        <c:axId val="2081472496"/>
        <c:axId val="0"/>
      </c:bar3DChart>
      <c:catAx>
        <c:axId val="209447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Year 2020 -2024</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GB"/>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1472496"/>
        <c:crosses val="autoZero"/>
        <c:auto val="1"/>
        <c:lblAlgn val="ctr"/>
        <c:lblOffset val="100"/>
        <c:noMultiLvlLbl val="0"/>
      </c:catAx>
      <c:valAx>
        <c:axId val="2081472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AUD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44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Monthly</a:t>
            </a:r>
            <a:r>
              <a:rPr lang="en-GB" baseline="0"/>
              <a:t> Income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14866614387997154"/>
          <c:y val="0.17171296296296298"/>
          <c:w val="0.81544028111343569"/>
          <c:h val="0.61498432487605714"/>
        </c:manualLayout>
      </c:layout>
      <c:lineChart>
        <c:grouping val="standard"/>
        <c:varyColors val="0"/>
        <c:ser>
          <c:idx val="2"/>
          <c:order val="0"/>
          <c:tx>
            <c:strRef>
              <c:f>'monthly income'!$C$5</c:f>
              <c:strCache>
                <c:ptCount val="1"/>
                <c:pt idx="0">
                  <c:v>MonthNum</c:v>
                </c:pt>
              </c:strCache>
              <c:extLst xmlns:c15="http://schemas.microsoft.com/office/drawing/2012/chart"/>
            </c:strRef>
          </c:tx>
          <c:spPr>
            <a:ln w="28575" cap="rnd">
              <a:solidFill>
                <a:schemeClr val="accent3"/>
              </a:solidFill>
              <a:round/>
            </a:ln>
            <a:effectLst/>
          </c:spPr>
          <c:marker>
            <c:symbol val="none"/>
          </c:marker>
          <c:val>
            <c:numRef>
              <c:f>'monthly income'!$C$6:$C$53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82D0-456A-B656-19F5C010C40A}"/>
            </c:ext>
          </c:extLst>
        </c:ser>
        <c:ser>
          <c:idx val="3"/>
          <c:order val="1"/>
          <c:tx>
            <c:strRef>
              <c:f>'monthly income'!$D$5</c:f>
              <c:strCache>
                <c:ptCount val="1"/>
                <c:pt idx="0">
                  <c:v>Monthly Income</c:v>
                </c:pt>
              </c:strCache>
            </c:strRef>
          </c:tx>
          <c:spPr>
            <a:ln w="28575" cap="rnd">
              <a:solidFill>
                <a:schemeClr val="accent4"/>
              </a:solidFill>
              <a:round/>
            </a:ln>
            <a:effectLst/>
          </c:spPr>
          <c:marker>
            <c:symbol val="none"/>
          </c:marker>
          <c:val>
            <c:numRef>
              <c:f>'monthly income'!$D$6:$D$53</c:f>
              <c:numCache>
                <c:formatCode>[$$-409]#,##0.00</c:formatCode>
                <c:ptCount val="12"/>
                <c:pt idx="0">
                  <c:v>15211</c:v>
                </c:pt>
                <c:pt idx="1">
                  <c:v>13902</c:v>
                </c:pt>
                <c:pt idx="2">
                  <c:v>12002</c:v>
                </c:pt>
                <c:pt idx="3">
                  <c:v>13722</c:v>
                </c:pt>
                <c:pt idx="4">
                  <c:v>6092</c:v>
                </c:pt>
                <c:pt idx="5">
                  <c:v>14941</c:v>
                </c:pt>
                <c:pt idx="6">
                  <c:v>6538</c:v>
                </c:pt>
                <c:pt idx="7">
                  <c:v>7744</c:v>
                </c:pt>
                <c:pt idx="8">
                  <c:v>8369</c:v>
                </c:pt>
                <c:pt idx="9">
                  <c:v>12513</c:v>
                </c:pt>
                <c:pt idx="10">
                  <c:v>5600</c:v>
                </c:pt>
                <c:pt idx="11">
                  <c:v>30466</c:v>
                </c:pt>
              </c:numCache>
            </c:numRef>
          </c:val>
          <c:smooth val="0"/>
          <c:extLst>
            <c:ext xmlns:c16="http://schemas.microsoft.com/office/drawing/2014/chart" uri="{C3380CC4-5D6E-409C-BE32-E72D297353CC}">
              <c16:uniqueId val="{00000000-82D0-456A-B656-19F5C010C40A}"/>
            </c:ext>
          </c:extLst>
        </c:ser>
        <c:dLbls>
          <c:showLegendKey val="0"/>
          <c:showVal val="0"/>
          <c:showCatName val="0"/>
          <c:showSerName val="0"/>
          <c:showPercent val="0"/>
          <c:showBubbleSize val="0"/>
        </c:dLbls>
        <c:smooth val="0"/>
        <c:axId val="1386105008"/>
        <c:axId val="1288168656"/>
        <c:extLst/>
      </c:lineChart>
      <c:catAx>
        <c:axId val="1386105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Months</a:t>
                </a:r>
              </a:p>
            </c:rich>
          </c:tx>
          <c:layout>
            <c:manualLayout>
              <c:xMode val="edge"/>
              <c:yMode val="edge"/>
              <c:x val="0.43837861768918723"/>
              <c:y val="0.875578156897054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8168656"/>
        <c:crosses val="autoZero"/>
        <c:auto val="1"/>
        <c:lblAlgn val="ctr"/>
        <c:lblOffset val="100"/>
        <c:noMultiLvlLbl val="0"/>
      </c:catAx>
      <c:valAx>
        <c:axId val="1288168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6105008"/>
        <c:crosses val="autoZero"/>
        <c:crossBetween val="between"/>
      </c:valAx>
      <c:spPr>
        <a:noFill/>
        <a:ln>
          <a:noFill/>
        </a:ln>
        <a:effectLst/>
      </c:spPr>
    </c:plotArea>
    <c:legend>
      <c:legendPos val="b"/>
      <c:layout>
        <c:manualLayout>
          <c:xMode val="edge"/>
          <c:yMode val="edge"/>
          <c:x val="2.2018994671919617E-2"/>
          <c:y val="0.89409667541557303"/>
          <c:w val="0.3804689643493092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'annual income'!$B$1</c:f>
              <c:strCache>
                <c:ptCount val="1"/>
                <c:pt idx="0">
                  <c:v>Annual Income</c:v>
                </c:pt>
              </c:strCache>
            </c:strRef>
          </c:tx>
          <c:spPr>
            <a:ln w="28575" cap="rnd">
              <a:solidFill>
                <a:schemeClr val="accent4"/>
              </a:solidFill>
              <a:round/>
            </a:ln>
            <a:effectLst/>
          </c:spPr>
          <c:marker>
            <c:symbol val="none"/>
          </c:marker>
          <c:cat>
            <c:numRef>
              <c:f>'annual income'!$A$2:$A$6</c:f>
              <c:numCache>
                <c:formatCode>General</c:formatCode>
                <c:ptCount val="5"/>
                <c:pt idx="0">
                  <c:v>2020</c:v>
                </c:pt>
                <c:pt idx="1">
                  <c:v>2021</c:v>
                </c:pt>
                <c:pt idx="2">
                  <c:v>2022</c:v>
                </c:pt>
                <c:pt idx="3">
                  <c:v>2023</c:v>
                </c:pt>
                <c:pt idx="4">
                  <c:v>2024</c:v>
                </c:pt>
              </c:numCache>
            </c:numRef>
          </c:cat>
          <c:val>
            <c:numRef>
              <c:f>'annual income'!$B$2:$B$6</c:f>
              <c:numCache>
                <c:formatCode>[$$-409]#,##0.00</c:formatCode>
                <c:ptCount val="5"/>
                <c:pt idx="0">
                  <c:v>147100</c:v>
                </c:pt>
                <c:pt idx="1">
                  <c:v>190995</c:v>
                </c:pt>
                <c:pt idx="2">
                  <c:v>180409</c:v>
                </c:pt>
                <c:pt idx="3">
                  <c:v>188812</c:v>
                </c:pt>
                <c:pt idx="4">
                  <c:v>26771</c:v>
                </c:pt>
              </c:numCache>
            </c:numRef>
          </c:val>
          <c:smooth val="0"/>
          <c:extLst>
            <c:ext xmlns:c16="http://schemas.microsoft.com/office/drawing/2014/chart" uri="{C3380CC4-5D6E-409C-BE32-E72D297353CC}">
              <c16:uniqueId val="{00000000-F4C0-424D-965C-16FDF1BAD838}"/>
            </c:ext>
          </c:extLst>
        </c:ser>
        <c:dLbls>
          <c:showLegendKey val="0"/>
          <c:showVal val="0"/>
          <c:showCatName val="0"/>
          <c:showSerName val="0"/>
          <c:showPercent val="0"/>
          <c:showBubbleSize val="0"/>
        </c:dLbls>
        <c:smooth val="0"/>
        <c:axId val="1661904047"/>
        <c:axId val="1143532943"/>
      </c:lineChart>
      <c:catAx>
        <c:axId val="166190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3532943"/>
        <c:crosses val="autoZero"/>
        <c:auto val="1"/>
        <c:lblAlgn val="ctr"/>
        <c:lblOffset val="100"/>
        <c:noMultiLvlLbl val="0"/>
      </c:catAx>
      <c:valAx>
        <c:axId val="11435329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19040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[dashboard.xlsx]expense annual!PivotTable31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7CB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5870516185477"/>
          <c:y val="0.26328484981044037"/>
          <c:w val="0.72312270341207352"/>
          <c:h val="0.6293157626130067"/>
        </c:manualLayout>
      </c:layout>
      <c:barChart>
        <c:barDir val="col"/>
        <c:grouping val="clustered"/>
        <c:varyColors val="0"/>
        <c:ser>
          <c:idx val="0"/>
          <c:order val="0"/>
          <c:tx>
            <c:strRef>
              <c:f>'expense annual'!$B$1</c:f>
              <c:strCache>
                <c:ptCount val="1"/>
                <c:pt idx="0">
                  <c:v>Total</c:v>
                </c:pt>
              </c:strCache>
            </c:strRef>
          </c:tx>
          <c:spPr>
            <a:solidFill>
              <a:srgbClr val="17CBA0"/>
            </a:solidFill>
            <a:ln>
              <a:noFill/>
            </a:ln>
            <a:effectLst/>
          </c:spPr>
          <c:invertIfNegative val="0"/>
          <c:cat>
            <c:strRef>
              <c:f>'expense annual'!$A$2:$A$3</c:f>
              <c:strCache>
                <c:ptCount val="1"/>
                <c:pt idx="0">
                  <c:v>2022</c:v>
                </c:pt>
              </c:strCache>
            </c:strRef>
          </c:cat>
          <c:val>
            <c:numRef>
              <c:f>'expense annual'!$B$2:$B$3</c:f>
              <c:numCache>
                <c:formatCode>General</c:formatCode>
                <c:ptCount val="1"/>
                <c:pt idx="0">
                  <c:v>272728.66000000003</c:v>
                </c:pt>
              </c:numCache>
            </c:numRef>
          </c:val>
          <c:extLst>
            <c:ext xmlns:c16="http://schemas.microsoft.com/office/drawing/2014/chart" uri="{C3380CC4-5D6E-409C-BE32-E72D297353CC}">
              <c16:uniqueId val="{00000000-9595-4C30-A485-875C21D5DA1E}"/>
            </c:ext>
          </c:extLst>
        </c:ser>
        <c:dLbls>
          <c:showLegendKey val="0"/>
          <c:showVal val="0"/>
          <c:showCatName val="0"/>
          <c:showSerName val="0"/>
          <c:showPercent val="0"/>
          <c:showBubbleSize val="0"/>
        </c:dLbls>
        <c:gapWidth val="80"/>
        <c:overlap val="25"/>
        <c:axId val="267121519"/>
        <c:axId val="242973551"/>
      </c:barChart>
      <c:catAx>
        <c:axId val="26712151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rgbClr val="FFFFFF"/>
            </a:solidFill>
            <a:prstDash val="solid"/>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242973551"/>
        <c:crosses val="autoZero"/>
        <c:auto val="1"/>
        <c:lblAlgn val="ctr"/>
        <c:lblOffset val="100"/>
        <c:noMultiLvlLbl val="0"/>
      </c:catAx>
      <c:valAx>
        <c:axId val="242973551"/>
        <c:scaling>
          <c:orientation val="minMax"/>
        </c:scaling>
        <c:delete val="0"/>
        <c:axPos val="l"/>
        <c:majorGridlines>
          <c:spPr>
            <a:ln w="9525" cap="flat" cmpd="sng" algn="ctr">
              <a:solidFill>
                <a:srgbClr val="404040"/>
              </a:solidFill>
              <a:prstDash val="solid"/>
              <a:round/>
            </a:ln>
            <a:effectLst/>
          </c:spPr>
        </c:majorGridlines>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rgbClr val="FFFFFF"/>
            </a:solidFill>
            <a:prstDash val="soli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267121519"/>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08910355277755"/>
          <c:y val="7.5993307854062109E-2"/>
          <c:w val="0.85998317333620966"/>
          <c:h val="0.80862420719290462"/>
        </c:manualLayout>
      </c:layout>
      <c:lineChart>
        <c:grouping val="standard"/>
        <c:varyColors val="0"/>
        <c:ser>
          <c:idx val="0"/>
          <c:order val="0"/>
          <c:tx>
            <c:strRef>
              <c:f>'expense monthly'!$D$1</c:f>
              <c:strCache>
                <c:ptCount val="1"/>
                <c:pt idx="0">
                  <c:v>Monthly Expenses</c:v>
                </c:pt>
              </c:strCache>
            </c:strRef>
          </c:tx>
          <c:spPr>
            <a:ln w="28575" cap="rnd">
              <a:solidFill>
                <a:schemeClr val="accent1"/>
              </a:solidFill>
              <a:round/>
            </a:ln>
            <a:effectLst/>
          </c:spPr>
          <c:marker>
            <c:symbol val="none"/>
          </c:marker>
          <c:cat>
            <c:numRef>
              <c:f>'expense monthly'!$B$2:$B$61</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numRef>
          </c:cat>
          <c:val>
            <c:numRef>
              <c:f>'expense monthly'!$D$2:$D$61</c:f>
              <c:numCache>
                <c:formatCode>[$$-409]#,##0.00</c:formatCode>
                <c:ptCount val="12"/>
                <c:pt idx="0">
                  <c:v>27203.010000000006</c:v>
                </c:pt>
                <c:pt idx="1">
                  <c:v>23909.760000000002</c:v>
                </c:pt>
                <c:pt idx="2">
                  <c:v>23367.230000000003</c:v>
                </c:pt>
                <c:pt idx="3">
                  <c:v>24687.57</c:v>
                </c:pt>
                <c:pt idx="4">
                  <c:v>28537.490000000005</c:v>
                </c:pt>
                <c:pt idx="5">
                  <c:v>30854.190000000002</c:v>
                </c:pt>
                <c:pt idx="6">
                  <c:v>23468.719999999994</c:v>
                </c:pt>
                <c:pt idx="7">
                  <c:v>28133.630000000005</c:v>
                </c:pt>
                <c:pt idx="8">
                  <c:v>28054.339999999997</c:v>
                </c:pt>
                <c:pt idx="9">
                  <c:v>24906.61</c:v>
                </c:pt>
                <c:pt idx="10">
                  <c:v>28392.650000000009</c:v>
                </c:pt>
                <c:pt idx="11">
                  <c:v>21677.14</c:v>
                </c:pt>
              </c:numCache>
            </c:numRef>
          </c:val>
          <c:smooth val="0"/>
          <c:extLst>
            <c:ext xmlns:c16="http://schemas.microsoft.com/office/drawing/2014/chart" uri="{C3380CC4-5D6E-409C-BE32-E72D297353CC}">
              <c16:uniqueId val="{00000000-693B-4022-B50D-C1062C28B383}"/>
            </c:ext>
          </c:extLst>
        </c:ser>
        <c:dLbls>
          <c:showLegendKey val="0"/>
          <c:showVal val="0"/>
          <c:showCatName val="0"/>
          <c:showSerName val="0"/>
          <c:showPercent val="0"/>
          <c:showBubbleSize val="0"/>
        </c:dLbls>
        <c:smooth val="0"/>
        <c:axId val="1947861376"/>
        <c:axId val="2140859632"/>
      </c:lineChart>
      <c:dateAx>
        <c:axId val="194786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Month</a:t>
                </a:r>
              </a:p>
            </c:rich>
          </c:tx>
          <c:layout>
            <c:manualLayout>
              <c:xMode val="edge"/>
              <c:yMode val="edge"/>
              <c:x val="0.47178740452718998"/>
              <c:y val="0.934889522110935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0859632"/>
        <c:crosses val="autoZero"/>
        <c:auto val="1"/>
        <c:lblOffset val="100"/>
        <c:baseTimeUnit val="months"/>
      </c:dateAx>
      <c:valAx>
        <c:axId val="214085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786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92105794468002"/>
          <c:y val="3.3107599699021821E-2"/>
          <c:w val="0.79174560872198663"/>
          <c:h val="0.76439902122844128"/>
        </c:manualLayout>
      </c:layout>
      <c:barChart>
        <c:barDir val="col"/>
        <c:grouping val="clustered"/>
        <c:varyColors val="0"/>
        <c:ser>
          <c:idx val="0"/>
          <c:order val="0"/>
          <c:tx>
            <c:strRef>
              <c:f>'income vs expense'!$B$1</c:f>
              <c:strCache>
                <c:ptCount val="1"/>
                <c:pt idx="0">
                  <c:v>Income</c:v>
                </c:pt>
              </c:strCache>
            </c:strRef>
          </c:tx>
          <c:spPr>
            <a:solidFill>
              <a:schemeClr val="accent1"/>
            </a:solidFill>
            <a:ln>
              <a:noFill/>
            </a:ln>
            <a:effectLst/>
          </c:spPr>
          <c:invertIfNegative val="0"/>
          <c:cat>
            <c:numRef>
              <c:f>'income vs expense'!$A$2:$A$6</c:f>
              <c:numCache>
                <c:formatCode>General</c:formatCode>
                <c:ptCount val="5"/>
                <c:pt idx="0">
                  <c:v>2020</c:v>
                </c:pt>
                <c:pt idx="1">
                  <c:v>2021</c:v>
                </c:pt>
                <c:pt idx="2">
                  <c:v>2022</c:v>
                </c:pt>
                <c:pt idx="3">
                  <c:v>2023</c:v>
                </c:pt>
                <c:pt idx="4">
                  <c:v>2024</c:v>
                </c:pt>
              </c:numCache>
            </c:numRef>
          </c:cat>
          <c:val>
            <c:numRef>
              <c:f>'income vs expense'!$B$2:$B$6</c:f>
              <c:numCache>
                <c:formatCode>General</c:formatCode>
                <c:ptCount val="5"/>
                <c:pt idx="0">
                  <c:v>147100</c:v>
                </c:pt>
                <c:pt idx="1">
                  <c:v>190995</c:v>
                </c:pt>
                <c:pt idx="2">
                  <c:v>180409</c:v>
                </c:pt>
                <c:pt idx="3">
                  <c:v>188812</c:v>
                </c:pt>
                <c:pt idx="4">
                  <c:v>26771</c:v>
                </c:pt>
              </c:numCache>
            </c:numRef>
          </c:val>
          <c:extLst>
            <c:ext xmlns:c16="http://schemas.microsoft.com/office/drawing/2014/chart" uri="{C3380CC4-5D6E-409C-BE32-E72D297353CC}">
              <c16:uniqueId val="{00000000-C528-4DA5-9981-82C2F2FC45BA}"/>
            </c:ext>
          </c:extLst>
        </c:ser>
        <c:ser>
          <c:idx val="1"/>
          <c:order val="1"/>
          <c:tx>
            <c:strRef>
              <c:f>'income vs expense'!$C$1</c:f>
              <c:strCache>
                <c:ptCount val="1"/>
                <c:pt idx="0">
                  <c:v>Expense</c:v>
                </c:pt>
              </c:strCache>
            </c:strRef>
          </c:tx>
          <c:spPr>
            <a:solidFill>
              <a:srgbClr val="17CBA0"/>
            </a:solidFill>
            <a:ln>
              <a:noFill/>
            </a:ln>
            <a:effectLst/>
          </c:spPr>
          <c:invertIfNegative val="0"/>
          <c:cat>
            <c:numRef>
              <c:f>'income vs expense'!$A$2:$A$6</c:f>
              <c:numCache>
                <c:formatCode>General</c:formatCode>
                <c:ptCount val="5"/>
                <c:pt idx="0">
                  <c:v>2020</c:v>
                </c:pt>
                <c:pt idx="1">
                  <c:v>2021</c:v>
                </c:pt>
                <c:pt idx="2">
                  <c:v>2022</c:v>
                </c:pt>
                <c:pt idx="3">
                  <c:v>2023</c:v>
                </c:pt>
                <c:pt idx="4">
                  <c:v>2024</c:v>
                </c:pt>
              </c:numCache>
            </c:numRef>
          </c:cat>
          <c:val>
            <c:numRef>
              <c:f>'income vs expense'!$C$2:$C$6</c:f>
              <c:numCache>
                <c:formatCode>General</c:formatCode>
                <c:ptCount val="5"/>
                <c:pt idx="0">
                  <c:v>313192.34000000014</c:v>
                </c:pt>
                <c:pt idx="1">
                  <c:v>305893.07000000007</c:v>
                </c:pt>
                <c:pt idx="2">
                  <c:v>272728.66000000009</c:v>
                </c:pt>
                <c:pt idx="3">
                  <c:v>309690.23000000016</c:v>
                </c:pt>
                <c:pt idx="4">
                  <c:v>25690.07</c:v>
                </c:pt>
              </c:numCache>
            </c:numRef>
          </c:val>
          <c:extLst>
            <c:ext xmlns:c16="http://schemas.microsoft.com/office/drawing/2014/chart" uri="{C3380CC4-5D6E-409C-BE32-E72D297353CC}">
              <c16:uniqueId val="{00000001-C528-4DA5-9981-82C2F2FC45BA}"/>
            </c:ext>
          </c:extLst>
        </c:ser>
        <c:dLbls>
          <c:showLegendKey val="0"/>
          <c:showVal val="0"/>
          <c:showCatName val="0"/>
          <c:showSerName val="0"/>
          <c:showPercent val="0"/>
          <c:showBubbleSize val="0"/>
        </c:dLbls>
        <c:gapWidth val="219"/>
        <c:overlap val="-27"/>
        <c:axId val="2091943040"/>
        <c:axId val="2140772272"/>
      </c:barChart>
      <c:catAx>
        <c:axId val="209194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Year</a:t>
                </a:r>
              </a:p>
            </c:rich>
          </c:tx>
          <c:layout>
            <c:manualLayout>
              <c:xMode val="edge"/>
              <c:yMode val="edge"/>
              <c:x val="0.49852453058752272"/>
              <c:y val="0.852279435725161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0772272"/>
        <c:crosses val="autoZero"/>
        <c:auto val="1"/>
        <c:lblAlgn val="ctr"/>
        <c:lblOffset val="100"/>
        <c:noMultiLvlLbl val="0"/>
      </c:catAx>
      <c:valAx>
        <c:axId val="2140772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194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'types of expenses'!$B$1</c:f>
              <c:strCache>
                <c:ptCount val="1"/>
                <c:pt idx="0">
                  <c:v>Expense Amount</c:v>
                </c:pt>
              </c:strCache>
            </c:strRef>
          </c:tx>
          <c:spPr>
            <a:solidFill>
              <a:srgbClr val="17CBA0"/>
            </a:solidFill>
            <a:ln w="19050">
              <a:solidFill>
                <a:srgbClr val="17CBA0"/>
              </a:solidFill>
            </a:ln>
            <a:effectLst/>
          </c:spPr>
          <c:explosion val="10"/>
          <c:dPt>
            <c:idx val="0"/>
            <c:bubble3D val="0"/>
            <c:spPr>
              <a:solidFill>
                <a:srgbClr val="17CBA0"/>
              </a:solidFill>
              <a:ln w="19050">
                <a:solidFill>
                  <a:srgbClr val="17CBA0"/>
                </a:solidFill>
              </a:ln>
              <a:effectLst/>
            </c:spPr>
            <c:extLst>
              <c:ext xmlns:c16="http://schemas.microsoft.com/office/drawing/2014/chart" uri="{C3380CC4-5D6E-409C-BE32-E72D297353CC}">
                <c16:uniqueId val="{00000001-E8CB-4753-9096-BDB0EAD20133}"/>
              </c:ext>
            </c:extLst>
          </c:dPt>
          <c:dPt>
            <c:idx val="1"/>
            <c:bubble3D val="0"/>
            <c:spPr>
              <a:solidFill>
                <a:srgbClr val="17CBA0"/>
              </a:solidFill>
              <a:ln w="19050">
                <a:solidFill>
                  <a:srgbClr val="17CBA0"/>
                </a:solidFill>
              </a:ln>
              <a:effectLst/>
            </c:spPr>
            <c:extLst>
              <c:ext xmlns:c16="http://schemas.microsoft.com/office/drawing/2014/chart" uri="{C3380CC4-5D6E-409C-BE32-E72D297353CC}">
                <c16:uniqueId val="{00000003-E8CB-4753-9096-BDB0EAD20133}"/>
              </c:ext>
            </c:extLst>
          </c:dPt>
          <c:dPt>
            <c:idx val="2"/>
            <c:bubble3D val="0"/>
            <c:spPr>
              <a:solidFill>
                <a:srgbClr val="17CBA0"/>
              </a:solidFill>
              <a:ln w="19050">
                <a:solidFill>
                  <a:srgbClr val="17CBA0"/>
                </a:solidFill>
              </a:ln>
              <a:effectLst/>
            </c:spPr>
            <c:extLst>
              <c:ext xmlns:c16="http://schemas.microsoft.com/office/drawing/2014/chart" uri="{C3380CC4-5D6E-409C-BE32-E72D297353CC}">
                <c16:uniqueId val="{00000005-E8CB-4753-9096-BDB0EAD20133}"/>
              </c:ext>
            </c:extLst>
          </c:dPt>
          <c:dPt>
            <c:idx val="3"/>
            <c:bubble3D val="0"/>
            <c:spPr>
              <a:solidFill>
                <a:srgbClr val="17CBA0"/>
              </a:solidFill>
              <a:ln w="19050">
                <a:solidFill>
                  <a:srgbClr val="17CBA0"/>
                </a:solidFill>
              </a:ln>
              <a:effectLst/>
            </c:spPr>
            <c:extLst>
              <c:ext xmlns:c16="http://schemas.microsoft.com/office/drawing/2014/chart" uri="{C3380CC4-5D6E-409C-BE32-E72D297353CC}">
                <c16:uniqueId val="{00000007-E8CB-4753-9096-BDB0EAD20133}"/>
              </c:ext>
            </c:extLst>
          </c:dPt>
          <c:dPt>
            <c:idx val="4"/>
            <c:bubble3D val="0"/>
            <c:spPr>
              <a:solidFill>
                <a:srgbClr val="17CBA0"/>
              </a:solidFill>
              <a:ln w="19050">
                <a:solidFill>
                  <a:srgbClr val="17CBA0"/>
                </a:solidFill>
              </a:ln>
              <a:effectLst/>
            </c:spPr>
            <c:extLst>
              <c:ext xmlns:c16="http://schemas.microsoft.com/office/drawing/2014/chart" uri="{C3380CC4-5D6E-409C-BE32-E72D297353CC}">
                <c16:uniqueId val="{00000009-E8CB-4753-9096-BDB0EAD20133}"/>
              </c:ext>
            </c:extLst>
          </c:dPt>
          <c:dPt>
            <c:idx val="5"/>
            <c:bubble3D val="0"/>
            <c:spPr>
              <a:solidFill>
                <a:srgbClr val="17CBA0"/>
              </a:solidFill>
              <a:ln w="19050">
                <a:solidFill>
                  <a:srgbClr val="17CBA0"/>
                </a:solidFill>
              </a:ln>
              <a:effectLst/>
            </c:spPr>
            <c:extLst>
              <c:ext xmlns:c16="http://schemas.microsoft.com/office/drawing/2014/chart" uri="{C3380CC4-5D6E-409C-BE32-E72D297353CC}">
                <c16:uniqueId val="{0000000B-E8CB-4753-9096-BDB0EAD20133}"/>
              </c:ext>
            </c:extLst>
          </c:dPt>
          <c:dPt>
            <c:idx val="6"/>
            <c:bubble3D val="0"/>
            <c:spPr>
              <a:solidFill>
                <a:srgbClr val="17CBA0"/>
              </a:solidFill>
              <a:ln w="19050">
                <a:solidFill>
                  <a:srgbClr val="17CBA0"/>
                </a:solidFill>
              </a:ln>
              <a:effectLst/>
            </c:spPr>
            <c:extLst>
              <c:ext xmlns:c16="http://schemas.microsoft.com/office/drawing/2014/chart" uri="{C3380CC4-5D6E-409C-BE32-E72D297353CC}">
                <c16:uniqueId val="{0000000D-E8CB-4753-9096-BDB0EAD20133}"/>
              </c:ext>
            </c:extLst>
          </c:dPt>
          <c:dPt>
            <c:idx val="7"/>
            <c:bubble3D val="0"/>
            <c:spPr>
              <a:solidFill>
                <a:srgbClr val="17CBA0"/>
              </a:solidFill>
              <a:ln w="19050">
                <a:solidFill>
                  <a:srgbClr val="17CBA0"/>
                </a:solidFill>
              </a:ln>
              <a:effectLst/>
            </c:spPr>
            <c:extLst>
              <c:ext xmlns:c16="http://schemas.microsoft.com/office/drawing/2014/chart" uri="{C3380CC4-5D6E-409C-BE32-E72D297353CC}">
                <c16:uniqueId val="{0000000F-E8CB-4753-9096-BDB0EAD2013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'types of expenses'!$A$2:$A$9</c:f>
              <c:strCache>
                <c:ptCount val="8"/>
                <c:pt idx="0">
                  <c:v>Entertainment</c:v>
                </c:pt>
                <c:pt idx="1">
                  <c:v>Food &amp; Drink</c:v>
                </c:pt>
                <c:pt idx="2">
                  <c:v>Health &amp; Fitness</c:v>
                </c:pt>
                <c:pt idx="3">
                  <c:v>Rent</c:v>
                </c:pt>
                <c:pt idx="4">
                  <c:v>Salary</c:v>
                </c:pt>
                <c:pt idx="5">
                  <c:v>Shopping</c:v>
                </c:pt>
                <c:pt idx="6">
                  <c:v>Travel</c:v>
                </c:pt>
                <c:pt idx="7">
                  <c:v>Utilities</c:v>
                </c:pt>
              </c:strCache>
            </c:strRef>
          </c:cat>
          <c:val>
            <c:numRef>
              <c:f>'types of expenses'!$B$2:$B$9</c:f>
              <c:numCache>
                <c:formatCode>[$$-409]#,##0.00</c:formatCode>
                <c:ptCount val="8"/>
                <c:pt idx="0">
                  <c:v>148165.46999999997</c:v>
                </c:pt>
                <c:pt idx="1">
                  <c:v>159493.39000000004</c:v>
                </c:pt>
                <c:pt idx="2">
                  <c:v>145194.06000000003</c:v>
                </c:pt>
                <c:pt idx="3">
                  <c:v>162075.39000000001</c:v>
                </c:pt>
                <c:pt idx="4">
                  <c:v>149053.55000000005</c:v>
                </c:pt>
                <c:pt idx="5">
                  <c:v>146880.75000000006</c:v>
                </c:pt>
                <c:pt idx="6">
                  <c:v>169497.79000000004</c:v>
                </c:pt>
                <c:pt idx="7">
                  <c:v>146833.97000000003</c:v>
                </c:pt>
              </c:numCache>
            </c:numRef>
          </c:val>
          <c:extLst>
            <c:ext xmlns:c16="http://schemas.microsoft.com/office/drawing/2014/chart" uri="{C3380CC4-5D6E-409C-BE32-E72D297353CC}">
              <c16:uniqueId val="{00000010-E8CB-4753-9096-BDB0EAD2013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4428170168362517"/>
          <c:y val="0.16245370370370371"/>
          <c:w val="0.72516253761176319"/>
          <c:h val="0.51681284631087776"/>
        </c:manualLayout>
      </c:layout>
      <c:lineChart>
        <c:grouping val="standard"/>
        <c:varyColors val="0"/>
        <c:ser>
          <c:idx val="1"/>
          <c:order val="0"/>
          <c:tx>
            <c:strRef>
              <c:f>'monthly income'!$D$5</c:f>
              <c:strCache>
                <c:ptCount val="1"/>
                <c:pt idx="0">
                  <c:v>Monthly Income</c:v>
                </c:pt>
              </c:strCache>
            </c:strRef>
          </c:tx>
          <c:spPr>
            <a:ln w="28575" cap="rnd">
              <a:solidFill>
                <a:schemeClr val="accent2"/>
              </a:solidFill>
              <a:round/>
            </a:ln>
            <a:effectLst/>
          </c:spPr>
          <c:marker>
            <c:symbol val="none"/>
          </c:marker>
          <c:val>
            <c:numRef>
              <c:f>'monthly income'!$D$6:$D$53</c:f>
              <c:numCache>
                <c:formatCode>[$$-409]#,##0.00</c:formatCode>
                <c:ptCount val="12"/>
                <c:pt idx="0">
                  <c:v>15211</c:v>
                </c:pt>
                <c:pt idx="1">
                  <c:v>13902</c:v>
                </c:pt>
                <c:pt idx="2">
                  <c:v>12002</c:v>
                </c:pt>
                <c:pt idx="3">
                  <c:v>13722</c:v>
                </c:pt>
                <c:pt idx="4">
                  <c:v>6092</c:v>
                </c:pt>
                <c:pt idx="5">
                  <c:v>14941</c:v>
                </c:pt>
                <c:pt idx="6">
                  <c:v>6538</c:v>
                </c:pt>
                <c:pt idx="7">
                  <c:v>7744</c:v>
                </c:pt>
                <c:pt idx="8">
                  <c:v>8369</c:v>
                </c:pt>
                <c:pt idx="9">
                  <c:v>12513</c:v>
                </c:pt>
                <c:pt idx="10">
                  <c:v>5600</c:v>
                </c:pt>
                <c:pt idx="11">
                  <c:v>30466</c:v>
                </c:pt>
              </c:numCache>
            </c:numRef>
          </c:val>
          <c:smooth val="0"/>
          <c:extLst>
            <c:ext xmlns:c16="http://schemas.microsoft.com/office/drawing/2014/chart" uri="{C3380CC4-5D6E-409C-BE32-E72D297353CC}">
              <c16:uniqueId val="{00000000-58FB-4F92-B264-9C5E09F50025}"/>
            </c:ext>
          </c:extLst>
        </c:ser>
        <c:dLbls>
          <c:showLegendKey val="0"/>
          <c:showVal val="0"/>
          <c:showCatName val="0"/>
          <c:showSerName val="0"/>
          <c:showPercent val="0"/>
          <c:showBubbleSize val="0"/>
        </c:dLbls>
        <c:smooth val="0"/>
        <c:axId val="1419180031"/>
        <c:axId val="1339230799"/>
        <c:extLst/>
      </c:lineChart>
      <c:catAx>
        <c:axId val="141918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9230799"/>
        <c:crosses val="autoZero"/>
        <c:auto val="1"/>
        <c:lblAlgn val="ctr"/>
        <c:lblOffset val="100"/>
        <c:noMultiLvlLbl val="0"/>
      </c:catAx>
      <c:valAx>
        <c:axId val="133923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918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'income vs expense'!$B$1</c:f>
              <c:strCache>
                <c:ptCount val="1"/>
                <c:pt idx="0">
                  <c:v>Income</c:v>
                </c:pt>
              </c:strCache>
            </c:strRef>
          </c:tx>
          <c:spPr>
            <a:solidFill>
              <a:srgbClr val="030010"/>
            </a:solidFill>
            <a:ln>
              <a:solidFill>
                <a:srgbClr val="030010"/>
              </a:solidFill>
            </a:ln>
            <a:effectLst/>
          </c:spPr>
          <c:invertIfNegative val="0"/>
          <c:cat>
            <c:strLit>
              <c:ptCount val="1"/>
              <c:pt idx="0">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'income vs expense'!$B$2:$B$6</c15:sqref>
                  </c15:fullRef>
                </c:ext>
              </c:extLst>
              <c:f>'income vs expense'!$B$5</c:f>
              <c:numCache>
                <c:formatCode>General</c:formatCode>
                <c:ptCount val="1"/>
                <c:pt idx="0">
                  <c:v>188812</c:v>
                </c:pt>
              </c:numCache>
            </c:numRef>
          </c:val>
          <c:extLst>
            <c:ext xmlns:c16="http://schemas.microsoft.com/office/drawing/2014/chart" uri="{C3380CC4-5D6E-409C-BE32-E72D297353CC}">
              <c16:uniqueId val="{00000000-F68F-4F5A-8A38-405D33B86E84}"/>
            </c:ext>
          </c:extLst>
        </c:ser>
        <c:ser>
          <c:idx val="1"/>
          <c:order val="1"/>
          <c:tx>
            <c:strRef>
              <c:f>'income vs expense'!$C$1</c:f>
              <c:strCache>
                <c:ptCount val="1"/>
                <c:pt idx="0">
                  <c:v>Expense</c:v>
                </c:pt>
              </c:strCache>
            </c:strRef>
          </c:tx>
          <c:spPr>
            <a:solidFill>
              <a:schemeClr val="accent2"/>
            </a:solidFill>
            <a:ln>
              <a:noFill/>
            </a:ln>
            <a:effectLst/>
          </c:spPr>
          <c:invertIfNegative val="0"/>
          <c:cat>
            <c:strLit>
              <c:ptCount val="1"/>
              <c:pt idx="0">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'income vs expense'!$C$2:$C$6</c15:sqref>
                  </c15:fullRef>
                </c:ext>
              </c:extLst>
              <c:f>'income vs expense'!$C$5</c:f>
              <c:numCache>
                <c:formatCode>General</c:formatCode>
                <c:ptCount val="1"/>
                <c:pt idx="0">
                  <c:v>309690.23000000016</c:v>
                </c:pt>
              </c:numCache>
            </c:numRef>
          </c:val>
          <c:extLst>
            <c:ext xmlns:c16="http://schemas.microsoft.com/office/drawing/2014/chart" uri="{C3380CC4-5D6E-409C-BE32-E72D297353CC}">
              <c16:uniqueId val="{00000001-F68F-4F5A-8A38-405D33B86E84}"/>
            </c:ext>
          </c:extLst>
        </c:ser>
        <c:dLbls>
          <c:showLegendKey val="0"/>
          <c:showVal val="0"/>
          <c:showCatName val="0"/>
          <c:showSerName val="0"/>
          <c:showPercent val="0"/>
          <c:showBubbleSize val="0"/>
        </c:dLbls>
        <c:gapWidth val="219"/>
        <c:overlap val="-27"/>
        <c:axId val="251416783"/>
        <c:axId val="260354543"/>
      </c:barChart>
      <c:catAx>
        <c:axId val="2514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354543"/>
        <c:crosses val="autoZero"/>
        <c:auto val="1"/>
        <c:lblAlgn val="ctr"/>
        <c:lblOffset val="100"/>
        <c:noMultiLvlLbl val="0"/>
      </c:catAx>
      <c:valAx>
        <c:axId val="26035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1416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'expense monthly'!$D$1</c:f>
              <c:strCache>
                <c:ptCount val="1"/>
                <c:pt idx="0">
                  <c:v>Monthly Expenses</c:v>
                </c:pt>
              </c:strCache>
            </c:strRef>
          </c:tx>
          <c:spPr>
            <a:ln w="28575" cap="rnd">
              <a:solidFill>
                <a:schemeClr val="accent2"/>
              </a:solidFill>
              <a:round/>
            </a:ln>
            <a:effectLst/>
          </c:spPr>
          <c:marker>
            <c:symbol val="none"/>
          </c:marker>
          <c:cat>
            <c:numRef>
              <c:f>'expense monthly'!$B$2:$B$61</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numRef>
          </c:cat>
          <c:val>
            <c:numRef>
              <c:f>'expense monthly'!$D$2:$D$61</c:f>
              <c:numCache>
                <c:formatCode>[$$-409]#,##0.00</c:formatCode>
                <c:ptCount val="12"/>
                <c:pt idx="0">
                  <c:v>27203.010000000006</c:v>
                </c:pt>
                <c:pt idx="1">
                  <c:v>23909.760000000002</c:v>
                </c:pt>
                <c:pt idx="2">
                  <c:v>23367.230000000003</c:v>
                </c:pt>
                <c:pt idx="3">
                  <c:v>24687.57</c:v>
                </c:pt>
                <c:pt idx="4">
                  <c:v>28537.490000000005</c:v>
                </c:pt>
                <c:pt idx="5">
                  <c:v>30854.190000000002</c:v>
                </c:pt>
                <c:pt idx="6">
                  <c:v>23468.719999999994</c:v>
                </c:pt>
                <c:pt idx="7">
                  <c:v>28133.630000000005</c:v>
                </c:pt>
                <c:pt idx="8">
                  <c:v>28054.339999999997</c:v>
                </c:pt>
                <c:pt idx="9">
                  <c:v>24906.61</c:v>
                </c:pt>
                <c:pt idx="10">
                  <c:v>28392.650000000009</c:v>
                </c:pt>
                <c:pt idx="11">
                  <c:v>21677.14</c:v>
                </c:pt>
              </c:numCache>
            </c:numRef>
          </c:val>
          <c:smooth val="0"/>
          <c:extLst>
            <c:ext xmlns:c16="http://schemas.microsoft.com/office/drawing/2014/chart" uri="{C3380CC4-5D6E-409C-BE32-E72D297353CC}">
              <c16:uniqueId val="{00000000-B734-4B95-9D4C-C800DFBBB5DA}"/>
            </c:ext>
          </c:extLst>
        </c:ser>
        <c:dLbls>
          <c:showLegendKey val="0"/>
          <c:showVal val="0"/>
          <c:showCatName val="0"/>
          <c:showSerName val="0"/>
          <c:showPercent val="0"/>
          <c:showBubbleSize val="0"/>
        </c:dLbls>
        <c:smooth val="0"/>
        <c:axId val="1947861376"/>
        <c:axId val="2140859632"/>
      </c:lineChart>
      <c:dateAx>
        <c:axId val="1947861376"/>
        <c:scaling>
          <c:orientation val="minMax"/>
        </c:scaling>
        <c:delete val="0"/>
        <c:axPos val="b"/>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0859632"/>
        <c:crosses val="autoZero"/>
        <c:auto val="1"/>
        <c:lblOffset val="100"/>
        <c:baseTimeUnit val="months"/>
      </c:dateAx>
      <c:valAx>
        <c:axId val="214085963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786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2023 Investment Income</a:t>
            </a:r>
          </a:p>
        </c:rich>
      </c:tx>
      <c:layout>
        <c:manualLayout>
          <c:xMode val="edge"/>
          <c:yMode val="edge"/>
          <c:x val="0.261178695428407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investment!$C$5</c:f>
              <c:strCache>
                <c:ptCount val="1"/>
                <c:pt idx="0">
                  <c:v>Investment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investment!$A$6:$A$17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investment!$C$6:$C$17</c:f>
              <c:numCache>
                <c:formatCode>[$$-409]#,##0.00</c:formatCode>
                <c:ptCount val="12"/>
                <c:pt idx="0">
                  <c:v>7539</c:v>
                </c:pt>
                <c:pt idx="1">
                  <c:v>19071</c:v>
                </c:pt>
                <c:pt idx="2">
                  <c:v>7616</c:v>
                </c:pt>
                <c:pt idx="3">
                  <c:v>11281</c:v>
                </c:pt>
                <c:pt idx="4">
                  <c:v>7441</c:v>
                </c:pt>
                <c:pt idx="5">
                  <c:v>5763</c:v>
                </c:pt>
                <c:pt idx="6">
                  <c:v>9769</c:v>
                </c:pt>
                <c:pt idx="7">
                  <c:v>12036</c:v>
                </c:pt>
                <c:pt idx="8">
                  <c:v>10509</c:v>
                </c:pt>
                <c:pt idx="9">
                  <c:v>1211</c:v>
                </c:pt>
                <c:pt idx="10">
                  <c:v>9581</c:v>
                </c:pt>
                <c:pt idx="11">
                  <c:v>2258</c:v>
                </c:pt>
              </c:numCache>
            </c:numRef>
          </c:val>
          <c:smooth val="0"/>
          <c:extLst>
            <c:ext xmlns:c16="http://schemas.microsoft.com/office/drawing/2014/chart" uri="{C3380CC4-5D6E-409C-BE32-E72D297353CC}">
              <c16:uniqueId val="{00000000-7917-4CE0-AB06-4F9446F780D3}"/>
            </c:ext>
          </c:extLst>
        </c:ser>
        <c:dLbls>
          <c:showLegendKey val="0"/>
          <c:showVal val="0"/>
          <c:showCatName val="0"/>
          <c:showSerName val="0"/>
          <c:showPercent val="0"/>
          <c:showBubbleSize val="0"/>
        </c:dLbls>
        <c:marker val="1"/>
        <c:smooth val="0"/>
        <c:axId val="355855711"/>
        <c:axId val="364721007"/>
      </c:lineChart>
      <c:catAx>
        <c:axId val="35585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4721007"/>
        <c:crosses val="autoZero"/>
        <c:auto val="1"/>
        <c:lblAlgn val="ctr"/>
        <c:lblOffset val="100"/>
        <c:noMultiLvlLbl val="0"/>
      </c:catAx>
      <c:valAx>
        <c:axId val="36472100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58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a:t>Savings Goal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GB"/>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888960914601592E-2"/>
          <c:y val="0.26877645733975852"/>
          <c:w val="0.9339840577691737"/>
          <c:h val="0.46129333671501027"/>
        </c:manualLayout>
      </c:layout>
      <c:bar3DChart>
        <c:barDir val="bar"/>
        <c:grouping val="clustered"/>
        <c:varyColors val="0"/>
        <c:ser>
          <c:idx val="0"/>
          <c:order val="0"/>
          <c:tx>
            <c:strRef>
              <c:f>'2023'!$A$1</c:f>
              <c:strCache>
                <c:ptCount val="1"/>
                <c:pt idx="0">
                  <c:v>savings goal</c:v>
                </c:pt>
              </c:strCache>
            </c:strRef>
          </c:tx>
          <c:spPr>
            <a:solidFill>
              <a:schemeClr val="bg1"/>
            </a:solidFill>
            <a:ln>
              <a:solidFill>
                <a:schemeClr val="bg1"/>
              </a:solidFill>
            </a:ln>
            <a:effectLst/>
            <a:sp3d>
              <a:contourClr>
                <a:schemeClr val="bg1"/>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'2023'!$A$2</c:f>
              <c:numCache>
                <c:formatCode>General</c:formatCode>
                <c:ptCount val="1"/>
                <c:pt idx="0">
                  <c:v>40000</c:v>
                </c:pt>
              </c:numCache>
            </c:numRef>
          </c:val>
          <c:extLst>
            <c:ext xmlns:c16="http://schemas.microsoft.com/office/drawing/2014/chart" uri="{C3380CC4-5D6E-409C-BE32-E72D297353CC}">
              <c16:uniqueId val="{00000000-DBC0-47B5-B6FC-0E5D64A59E3B}"/>
            </c:ext>
          </c:extLst>
        </c:ser>
        <c:ser>
          <c:idx val="1"/>
          <c:order val="1"/>
          <c:tx>
            <c:strRef>
              <c:f>'2023'!$B$1</c:f>
              <c:strCache>
                <c:ptCount val="1"/>
                <c:pt idx="0">
                  <c:v>actual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'2023'!$B$2</c:f>
              <c:numCache>
                <c:formatCode>General</c:formatCode>
                <c:ptCount val="1"/>
                <c:pt idx="0">
                  <c:v>45000</c:v>
                </c:pt>
              </c:numCache>
            </c:numRef>
          </c:val>
          <c:extLst>
            <c:ext xmlns:c16="http://schemas.microsoft.com/office/drawing/2014/chart" uri="{C3380CC4-5D6E-409C-BE32-E72D297353CC}">
              <c16:uniqueId val="{00000001-DBC0-47B5-B6FC-0E5D64A59E3B}"/>
            </c:ext>
          </c:extLst>
        </c:ser>
        <c:dLbls>
          <c:showLegendKey val="0"/>
          <c:showVal val="1"/>
          <c:showCatName val="0"/>
          <c:showSerName val="0"/>
          <c:showPercent val="0"/>
          <c:showBubbleSize val="0"/>
        </c:dLbls>
        <c:gapWidth val="150"/>
        <c:shape val="box"/>
        <c:axId val="1849318015"/>
        <c:axId val="1837972143"/>
        <c:axId val="0"/>
      </c:bar3DChart>
      <c:catAx>
        <c:axId val="18493180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7972143"/>
        <c:crosses val="autoZero"/>
        <c:auto val="1"/>
        <c:lblAlgn val="ctr"/>
        <c:lblOffset val="100"/>
        <c:noMultiLvlLbl val="0"/>
      </c:catAx>
      <c:valAx>
        <c:axId val="1837972143"/>
        <c:scaling>
          <c:orientation val="minMax"/>
          <c:min val="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9318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b="1"/>
              <a:t>Expense</a:t>
            </a:r>
            <a:r>
              <a:rPr lang="en-GB" b="1" baseline="0"/>
              <a:t> Goal</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'2023'!$I$1</c:f>
              <c:strCache>
                <c:ptCount val="1"/>
                <c:pt idx="0">
                  <c:v>expense goal</c:v>
                </c:pt>
              </c:strCache>
            </c:strRef>
          </c:tx>
          <c:spPr>
            <a:solidFill>
              <a:schemeClr val="bg1"/>
            </a:solidFill>
            <a:ln>
              <a:solidFill>
                <a:schemeClr val="bg1"/>
              </a:solidFill>
            </a:ln>
            <a:effectLst/>
            <a:sp3d>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'2023'!$I$2</c:f>
              <c:numCache>
                <c:formatCode>General</c:formatCode>
                <c:ptCount val="1"/>
                <c:pt idx="0">
                  <c:v>300000</c:v>
                </c:pt>
              </c:numCache>
            </c:numRef>
          </c:val>
          <c:extLst>
            <c:ext xmlns:c16="http://schemas.microsoft.com/office/drawing/2014/chart" uri="{C3380CC4-5D6E-409C-BE32-E72D297353CC}">
              <c16:uniqueId val="{00000000-BD55-4793-BFA7-63FCEDD44F24}"/>
            </c:ext>
          </c:extLst>
        </c:ser>
        <c:ser>
          <c:idx val="1"/>
          <c:order val="1"/>
          <c:tx>
            <c:strRef>
              <c:f>'2023'!$J$1</c:f>
              <c:strCache>
                <c:ptCount val="1"/>
                <c:pt idx="0">
                  <c:v>actual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'2023'!$J$2</c:f>
              <c:numCache>
                <c:formatCode>General</c:formatCode>
                <c:ptCount val="1"/>
                <c:pt idx="0">
                  <c:v>309690.23</c:v>
                </c:pt>
              </c:numCache>
            </c:numRef>
          </c:val>
          <c:extLst>
            <c:ext xmlns:c16="http://schemas.microsoft.com/office/drawing/2014/chart" uri="{C3380CC4-5D6E-409C-BE32-E72D297353CC}">
              <c16:uniqueId val="{00000001-BD55-4793-BFA7-63FCEDD44F24}"/>
            </c:ext>
          </c:extLst>
        </c:ser>
        <c:dLbls>
          <c:showLegendKey val="0"/>
          <c:showVal val="1"/>
          <c:showCatName val="0"/>
          <c:showSerName val="0"/>
          <c:showPercent val="0"/>
          <c:showBubbleSize val="0"/>
        </c:dLbls>
        <c:gapWidth val="150"/>
        <c:shape val="box"/>
        <c:axId val="260974112"/>
        <c:axId val="1236503824"/>
        <c:axId val="0"/>
      </c:bar3DChart>
      <c:catAx>
        <c:axId val="2609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503824"/>
        <c:crosses val="autoZero"/>
        <c:auto val="1"/>
        <c:lblAlgn val="ctr"/>
        <c:lblOffset val="100"/>
        <c:noMultiLvlLbl val="0"/>
      </c:catAx>
      <c:valAx>
        <c:axId val="123650382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97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2023 Income by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'2023 income source'!$B$4</c:f>
              <c:strCache>
                <c:ptCount val="1"/>
                <c:pt idx="0">
                  <c:v>2023 Income</c:v>
                </c:pt>
              </c:strCache>
            </c:strRef>
          </c:tx>
          <c:spPr>
            <a:solidFill>
              <a:schemeClr val="accent2"/>
            </a:solidFill>
            <a:ln>
              <a:solidFill>
                <a:schemeClr val="accent2"/>
              </a:solidFill>
            </a:ln>
            <a:effectLst/>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income source'!$A$5:$A$6</c:f>
              <c:strCache>
                <c:ptCount val="2"/>
                <c:pt idx="0">
                  <c:v>Investment</c:v>
                </c:pt>
                <c:pt idx="1">
                  <c:v>Other</c:v>
                </c:pt>
              </c:strCache>
            </c:strRef>
          </c:cat>
          <c:val>
            <c:numRef>
              <c:f>'2023 income source'!$B$5:$B$6</c:f>
              <c:numCache>
                <c:formatCode>"$"#,##0.00</c:formatCode>
                <c:ptCount val="2"/>
                <c:pt idx="0">
                  <c:v>104075</c:v>
                </c:pt>
                <c:pt idx="1">
                  <c:v>84737</c:v>
                </c:pt>
              </c:numCache>
            </c:numRef>
          </c:val>
          <c:extLst>
            <c:ext xmlns:c16="http://schemas.microsoft.com/office/drawing/2014/chart" uri="{C3380CC4-5D6E-409C-BE32-E72D297353CC}">
              <c16:uniqueId val="{00000000-003B-450B-B0BC-ABA688F74EB9}"/>
            </c:ext>
          </c:extLst>
        </c:ser>
        <c:dLbls>
          <c:showLegendKey val="0"/>
          <c:showVal val="0"/>
          <c:showCatName val="0"/>
          <c:showSerName val="0"/>
          <c:showPercent val="0"/>
          <c:showBubbleSize val="0"/>
        </c:dLbls>
        <c:gapWidth val="219"/>
        <c:overlap val="-27"/>
        <c:axId val="257276480"/>
        <c:axId val="1116653808"/>
      </c:barChart>
      <c:catAx>
        <c:axId val="25727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6653808"/>
        <c:crosses val="autoZero"/>
        <c:auto val="1"/>
        <c:lblAlgn val="ctr"/>
        <c:lblOffset val="100"/>
        <c:noMultiLvlLbl val="0"/>
      </c:catAx>
      <c:valAx>
        <c:axId val="1116653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727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[dashboard.xlsx]expense annual!PivotTable31</c:name>
    <c:fmtId val="0"/>
  </c:pivotSource>
  <c:chart>
    <c:title>
      <c:tx>
        <c:rich>
          <a:bodyPr rot="0" spcFirstLastPara="1" vertOverflow="ellipsis" vert="horz" wrap="square" anchor="ctr" anchorCtr="1"/>
          <a:lstStyle/>
          <a:p>
            <a:pPr>
              <a:defRPr sz="1400" b="0" i="0" u="none" strike="noStrike" kern="1200" cap="none" spc="50" normalizeH="0" baseline="0">
                <a:solidFill>
                  <a:srgbClr val="FFFFFF"/>
                </a:solidFill>
                <a:latin typeface="+mj-lt"/>
                <a:ea typeface="+mj-ea"/>
                <a:cs typeface="+mj-cs"/>
              </a:defRPr>
            </a:pPr>
            <a:r>
              <a:rPr lang="en-US"/>
              <a:t>Expenses by Year</a:t>
            </a:r>
          </a:p>
        </c:rich>
      </c:tx>
      <c:overlay val="0"/>
      <c:spPr>
        <a:noFill/>
        <a:ln>
          <a:noFill/>
        </a:ln>
        <a:effectLst/>
      </c:spPr>
      <c:txPr>
        <a:bodyPr rot="0" spcFirstLastPara="1" vertOverflow="ellipsis" vert="horz" wrap="square" anchor="ctr" anchorCtr="1"/>
        <a:lstStyle/>
        <a:p>
          <a:pPr>
            <a:defRPr sz="1400" b="0" i="0" u="none" strike="noStrike" kern="1200" cap="none" spc="50" normalizeH="0" baseline="0">
              <a:solidFill>
                <a:srgbClr val="FFFFFF"/>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5870516185477"/>
          <c:y val="0.26328484981044037"/>
          <c:w val="0.72312270341207352"/>
          <c:h val="0.6293157626130067"/>
        </c:manualLayout>
      </c:layout>
      <c:barChart>
        <c:barDir val="col"/>
        <c:grouping val="clustered"/>
        <c:varyColors val="0"/>
        <c:ser>
          <c:idx val="0"/>
          <c:order val="0"/>
          <c:tx>
            <c:strRef>
              <c:f>'expense annual'!$B$1</c:f>
              <c:strCache>
                <c:ptCount val="1"/>
                <c:pt idx="0">
                  <c:v>Total</c:v>
                </c:pt>
              </c:strCache>
            </c:strRef>
          </c:tx>
          <c:spPr>
            <a:solidFill>
              <a:schemeClr val="accent1">
                <a:alpha val="70000"/>
              </a:schemeClr>
            </a:solidFill>
            <a:ln>
              <a:noFill/>
            </a:ln>
            <a:effectLst/>
          </c:spPr>
          <c:invertIfNegative val="0"/>
          <c:cat>
            <c:strRef>
              <c:f>'expense annual'!$A$2:$A$3</c:f>
              <c:strCache>
                <c:ptCount val="1"/>
                <c:pt idx="0">
                  <c:v>2022</c:v>
                </c:pt>
              </c:strCache>
            </c:strRef>
          </c:cat>
          <c:val>
            <c:numRef>
              <c:f>'expense annual'!$B$2:$B$3</c:f>
              <c:numCache>
                <c:formatCode>General</c:formatCode>
                <c:ptCount val="1"/>
                <c:pt idx="0">
                  <c:v>272728.66000000003</c:v>
                </c:pt>
              </c:numCache>
            </c:numRef>
          </c:val>
          <c:extLst>
            <c:ext xmlns:c16="http://schemas.microsoft.com/office/drawing/2014/chart" uri="{C3380CC4-5D6E-409C-BE32-E72D297353CC}">
              <c16:uniqueId val="{00000005-847B-456A-9C5C-91872F839275}"/>
            </c:ext>
          </c:extLst>
        </c:ser>
        <c:dLbls>
          <c:showLegendKey val="0"/>
          <c:showVal val="0"/>
          <c:showCatName val="0"/>
          <c:showSerName val="0"/>
          <c:showPercent val="0"/>
          <c:showBubbleSize val="0"/>
        </c:dLbls>
        <c:gapWidth val="80"/>
        <c:overlap val="25"/>
        <c:axId val="267121519"/>
        <c:axId val="242973551"/>
      </c:barChart>
      <c:catAx>
        <c:axId val="26712151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rgbClr val="FFFFFF"/>
            </a:solidFill>
            <a:prstDash val="solid"/>
            <a:round/>
          </a:ln>
          <a:effectLst/>
        </c:spPr>
        <c:txPr>
          <a:bodyPr rot="-60000000" spcFirstLastPara="1" vertOverflow="ellipsis" vert="horz" wrap="square" anchor="ctr" anchorCtr="1"/>
          <a:lstStyle/>
          <a:p>
            <a:pPr>
              <a:defRPr sz="900" b="0" i="0" u="none" strike="noStrike" kern="1200" cap="none" spc="20" normalizeH="0" baseline="0">
                <a:solidFill>
                  <a:srgbClr val="FFFFFF"/>
                </a:solidFill>
                <a:latin typeface="+mn-lt"/>
                <a:ea typeface="+mn-ea"/>
                <a:cs typeface="+mn-cs"/>
              </a:defRPr>
            </a:pPr>
            <a:endParaRPr lang="en-US"/>
          </a:p>
        </c:txPr>
        <c:crossAx val="242973551"/>
        <c:crosses val="autoZero"/>
        <c:auto val="1"/>
        <c:lblAlgn val="ctr"/>
        <c:lblOffset val="100"/>
        <c:noMultiLvlLbl val="0"/>
      </c:catAx>
      <c:valAx>
        <c:axId val="242973551"/>
        <c:scaling>
          <c:orientation val="minMax"/>
        </c:scaling>
        <c:delete val="0"/>
        <c:axPos val="l"/>
        <c:majorGridlines>
          <c:spPr>
            <a:ln w="9525" cap="flat" cmpd="sng" algn="ctr">
              <a:solidFill>
                <a:srgbClr val="404040"/>
              </a:solidFill>
              <a:prstDash val="solid"/>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FFFFFF"/>
            </a:solidFill>
            <a:prstDash val="solid"/>
          </a:ln>
          <a:effectLst/>
        </c:spPr>
        <c:txPr>
          <a:bodyPr rot="-60000000" spcFirstLastPara="1" vertOverflow="ellipsis" vert="horz" wrap="square" anchor="ctr" anchorCtr="1"/>
          <a:lstStyle/>
          <a:p>
            <a:pPr>
              <a:defRPr sz="900" b="0" i="0" u="none" strike="noStrike" kern="1200" spc="20" baseline="0">
                <a:solidFill>
                  <a:srgbClr val="FFFFFF"/>
                </a:solidFill>
                <a:latin typeface="+mn-lt"/>
                <a:ea typeface="+mn-ea"/>
                <a:cs typeface="+mn-cs"/>
              </a:defRPr>
            </a:pPr>
            <a:endParaRPr lang="en-US"/>
          </a:p>
        </c:txPr>
        <c:crossAx val="267121519"/>
        <c:crosses val="autoZero"/>
        <c:crossBetween val="between"/>
      </c:valAx>
      <c:spPr>
        <a:solidFill>
          <a:srgbClr val="000000"/>
        </a:solidFill>
        <a:ln>
          <a:noFill/>
        </a:ln>
        <a:effectLst/>
      </c:spPr>
    </c:plotArea>
    <c:plotVisOnly val="1"/>
    <c:dispBlanksAs val="gap"/>
    <c:showDLblsOverMax val="0"/>
    <c:extLst/>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'expense monthly'!$D$1</c:f>
              <c:strCache>
                <c:ptCount val="1"/>
                <c:pt idx="0">
                  <c:v>Monthly Expenses</c:v>
                </c:pt>
              </c:strCache>
            </c:strRef>
          </c:tx>
          <c:spPr>
            <a:solidFill>
              <a:schemeClr val="accent1"/>
            </a:solidFill>
            <a:ln>
              <a:noFill/>
            </a:ln>
            <a:effectLst/>
          </c:spPr>
          <c:invertIfNegative val="0"/>
          <c:cat>
            <c:numRef>
              <c:f>'expense monthly'!$B$2:$B$61</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numRef>
          </c:cat>
          <c:val>
            <c:numRef>
              <c:f>'expense monthly'!$D$2:$D$61</c:f>
              <c:numCache>
                <c:formatCode>[$$-409]#,##0.00</c:formatCode>
                <c:ptCount val="12"/>
                <c:pt idx="0">
                  <c:v>27203.010000000006</c:v>
                </c:pt>
                <c:pt idx="1">
                  <c:v>23909.760000000002</c:v>
                </c:pt>
                <c:pt idx="2">
                  <c:v>23367.230000000003</c:v>
                </c:pt>
                <c:pt idx="3">
                  <c:v>24687.57</c:v>
                </c:pt>
                <c:pt idx="4">
                  <c:v>28537.490000000005</c:v>
                </c:pt>
                <c:pt idx="5">
                  <c:v>30854.190000000002</c:v>
                </c:pt>
                <c:pt idx="6">
                  <c:v>23468.719999999994</c:v>
                </c:pt>
                <c:pt idx="7">
                  <c:v>28133.630000000005</c:v>
                </c:pt>
                <c:pt idx="8">
                  <c:v>28054.339999999997</c:v>
                </c:pt>
                <c:pt idx="9">
                  <c:v>24906.61</c:v>
                </c:pt>
                <c:pt idx="10">
                  <c:v>28392.650000000009</c:v>
                </c:pt>
                <c:pt idx="11">
                  <c:v>21677.14</c:v>
                </c:pt>
              </c:numCache>
            </c:numRef>
          </c:val>
          <c:extLst>
            <c:ext xmlns:c16="http://schemas.microsoft.com/office/drawing/2014/chart" uri="{C3380CC4-5D6E-409C-BE32-E72D297353CC}">
              <c16:uniqueId val="{00000000-2C5D-4092-9033-24FEBE0D0290}"/>
            </c:ext>
          </c:extLst>
        </c:ser>
        <c:dLbls>
          <c:showLegendKey val="0"/>
          <c:showVal val="0"/>
          <c:showCatName val="0"/>
          <c:showSerName val="0"/>
          <c:showPercent val="0"/>
          <c:showBubbleSize val="0"/>
        </c:dLbls>
        <c:gapWidth val="219"/>
        <c:overlap val="-27"/>
        <c:axId val="1947861376"/>
        <c:axId val="2140859632"/>
      </c:barChart>
      <c:dateAx>
        <c:axId val="1947861376"/>
        <c:scaling>
          <c:orientation val="minMax"/>
        </c:scaling>
        <c:delete val="0"/>
        <c:axPos val="b"/>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859632"/>
        <c:crosses val="autoZero"/>
        <c:auto val="1"/>
        <c:lblOffset val="100"/>
        <c:baseTimeUnit val="months"/>
      </c:dateAx>
      <c:valAx>
        <c:axId val="214085963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 monthly'!$D$1</c:f>
              <c:strCache>
                <c:ptCount val="1"/>
                <c:pt idx="0">
                  <c:v>Monthly Expenses</c:v>
                </c:pt>
              </c:strCache>
            </c:strRef>
          </c:tx>
          <c:spPr>
            <a:ln w="28575" cap="rnd">
              <a:solidFill>
                <a:schemeClr val="accent1"/>
              </a:solidFill>
              <a:round/>
            </a:ln>
            <a:effectLst/>
          </c:spPr>
          <c:marker>
            <c:symbol val="none"/>
          </c:marker>
          <c:cat>
            <c:numRef>
              <c:f>'expense monthly'!$B$2:$B$61</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numRef>
          </c:cat>
          <c:val>
            <c:numRef>
              <c:f>'expense monthly'!$D$2:$D$61</c:f>
              <c:numCache>
                <c:formatCode>[$$-409]#,##0.00</c:formatCode>
                <c:ptCount val="12"/>
                <c:pt idx="0">
                  <c:v>27203.010000000006</c:v>
                </c:pt>
                <c:pt idx="1">
                  <c:v>23909.760000000002</c:v>
                </c:pt>
                <c:pt idx="2">
                  <c:v>23367.230000000003</c:v>
                </c:pt>
                <c:pt idx="3">
                  <c:v>24687.57</c:v>
                </c:pt>
                <c:pt idx="4">
                  <c:v>28537.490000000005</c:v>
                </c:pt>
                <c:pt idx="5">
                  <c:v>30854.190000000002</c:v>
                </c:pt>
                <c:pt idx="6">
                  <c:v>23468.719999999994</c:v>
                </c:pt>
                <c:pt idx="7">
                  <c:v>28133.630000000005</c:v>
                </c:pt>
                <c:pt idx="8">
                  <c:v>28054.339999999997</c:v>
                </c:pt>
                <c:pt idx="9">
                  <c:v>24906.61</c:v>
                </c:pt>
                <c:pt idx="10">
                  <c:v>28392.650000000009</c:v>
                </c:pt>
                <c:pt idx="11">
                  <c:v>21677.14</c:v>
                </c:pt>
              </c:numCache>
            </c:numRef>
          </c:val>
          <c:smooth val="0"/>
          <c:extLst>
            <c:ext xmlns:c16="http://schemas.microsoft.com/office/drawing/2014/chart" uri="{C3380CC4-5D6E-409C-BE32-E72D297353CC}">
              <c16:uniqueId val="{00000000-31A1-45F2-BDC5-6098B2954687}"/>
            </c:ext>
          </c:extLst>
        </c:ser>
        <c:dLbls>
          <c:showLegendKey val="0"/>
          <c:showVal val="0"/>
          <c:showCatName val="0"/>
          <c:showSerName val="0"/>
          <c:showPercent val="0"/>
          <c:showBubbleSize val="0"/>
        </c:dLbls>
        <c:smooth val="0"/>
        <c:axId val="1947861376"/>
        <c:axId val="2140859632"/>
      </c:lineChart>
      <c:dateAx>
        <c:axId val="1947861376"/>
        <c:scaling>
          <c:orientation val="minMax"/>
        </c:scaling>
        <c:delete val="0"/>
        <c:axPos val="b"/>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859632"/>
        <c:crosses val="autoZero"/>
        <c:auto val="1"/>
        <c:lblOffset val="100"/>
        <c:baseTimeUnit val="months"/>
      </c:dateAx>
      <c:valAx>
        <c:axId val="214085963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vs Expense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vs expense'!$B$1</c:f>
              <c:strCache>
                <c:ptCount val="1"/>
                <c:pt idx="0">
                  <c:v>Income</c:v>
                </c:pt>
              </c:strCache>
            </c:strRef>
          </c:tx>
          <c:spPr>
            <a:solidFill>
              <a:schemeClr val="accent1"/>
            </a:solidFill>
            <a:ln>
              <a:noFill/>
            </a:ln>
            <a:effectLst/>
          </c:spPr>
          <c:invertIfNegative val="0"/>
          <c:cat>
            <c:numRef>
              <c:f>'income vs expense'!$A$2:$A$6</c:f>
              <c:numCache>
                <c:formatCode>General</c:formatCode>
                <c:ptCount val="5"/>
                <c:pt idx="0">
                  <c:v>2020</c:v>
                </c:pt>
                <c:pt idx="1">
                  <c:v>2021</c:v>
                </c:pt>
                <c:pt idx="2">
                  <c:v>2022</c:v>
                </c:pt>
                <c:pt idx="3">
                  <c:v>2023</c:v>
                </c:pt>
                <c:pt idx="4">
                  <c:v>2024</c:v>
                </c:pt>
              </c:numCache>
            </c:numRef>
          </c:cat>
          <c:val>
            <c:numRef>
              <c:f>'income vs expense'!$B$2:$B$6</c:f>
              <c:numCache>
                <c:formatCode>General</c:formatCode>
                <c:ptCount val="5"/>
                <c:pt idx="0">
                  <c:v>147100</c:v>
                </c:pt>
                <c:pt idx="1">
                  <c:v>190995</c:v>
                </c:pt>
                <c:pt idx="2">
                  <c:v>180409</c:v>
                </c:pt>
                <c:pt idx="3">
                  <c:v>188812</c:v>
                </c:pt>
                <c:pt idx="4">
                  <c:v>26771</c:v>
                </c:pt>
              </c:numCache>
            </c:numRef>
          </c:val>
          <c:extLst>
            <c:ext xmlns:c16="http://schemas.microsoft.com/office/drawing/2014/chart" uri="{C3380CC4-5D6E-409C-BE32-E72D297353CC}">
              <c16:uniqueId val="{00000000-82BF-4948-B351-6CCE9E726DF5}"/>
            </c:ext>
          </c:extLst>
        </c:ser>
        <c:ser>
          <c:idx val="1"/>
          <c:order val="1"/>
          <c:tx>
            <c:strRef>
              <c:f>'income vs expense'!$C$1</c:f>
              <c:strCache>
                <c:ptCount val="1"/>
                <c:pt idx="0">
                  <c:v>Expense</c:v>
                </c:pt>
              </c:strCache>
            </c:strRef>
          </c:tx>
          <c:spPr>
            <a:solidFill>
              <a:schemeClr val="accent2"/>
            </a:solidFill>
            <a:ln>
              <a:noFill/>
            </a:ln>
            <a:effectLst/>
          </c:spPr>
          <c:invertIfNegative val="0"/>
          <c:cat>
            <c:numRef>
              <c:f>'income vs expense'!$A$2:$A$6</c:f>
              <c:numCache>
                <c:formatCode>General</c:formatCode>
                <c:ptCount val="5"/>
                <c:pt idx="0">
                  <c:v>2020</c:v>
                </c:pt>
                <c:pt idx="1">
                  <c:v>2021</c:v>
                </c:pt>
                <c:pt idx="2">
                  <c:v>2022</c:v>
                </c:pt>
                <c:pt idx="3">
                  <c:v>2023</c:v>
                </c:pt>
                <c:pt idx="4">
                  <c:v>2024</c:v>
                </c:pt>
              </c:numCache>
            </c:numRef>
          </c:cat>
          <c:val>
            <c:numRef>
              <c:f>'income vs expense'!$C$2:$C$6</c:f>
              <c:numCache>
                <c:formatCode>General</c:formatCode>
                <c:ptCount val="5"/>
                <c:pt idx="0">
                  <c:v>313192.34000000014</c:v>
                </c:pt>
                <c:pt idx="1">
                  <c:v>305893.07000000007</c:v>
                </c:pt>
                <c:pt idx="2">
                  <c:v>272728.66000000009</c:v>
                </c:pt>
                <c:pt idx="3">
                  <c:v>309690.23000000016</c:v>
                </c:pt>
                <c:pt idx="4">
                  <c:v>25690.07</c:v>
                </c:pt>
              </c:numCache>
            </c:numRef>
          </c:val>
          <c:extLst>
            <c:ext xmlns:c16="http://schemas.microsoft.com/office/drawing/2014/chart" uri="{C3380CC4-5D6E-409C-BE32-E72D297353CC}">
              <c16:uniqueId val="{00000001-82BF-4948-B351-6CCE9E726DF5}"/>
            </c:ext>
          </c:extLst>
        </c:ser>
        <c:dLbls>
          <c:showLegendKey val="0"/>
          <c:showVal val="0"/>
          <c:showCatName val="0"/>
          <c:showSerName val="0"/>
          <c:showPercent val="0"/>
          <c:showBubbleSize val="0"/>
        </c:dLbls>
        <c:gapWidth val="219"/>
        <c:overlap val="-27"/>
        <c:axId val="2091943040"/>
        <c:axId val="2140772272"/>
      </c:barChart>
      <c:catAx>
        <c:axId val="20919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772272"/>
        <c:crosses val="autoZero"/>
        <c:auto val="1"/>
        <c:lblAlgn val="ctr"/>
        <c:lblOffset val="100"/>
        <c:noMultiLvlLbl val="0"/>
      </c:catAx>
      <c:valAx>
        <c:axId val="214077227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4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'income vs expense'!$B$1</c:f>
              <c:strCache>
                <c:ptCount val="1"/>
                <c:pt idx="0">
                  <c:v>Income</c:v>
                </c:pt>
              </c:strCache>
            </c:strRef>
          </c:tx>
          <c:spPr>
            <a:solidFill>
              <a:schemeClr val="accent1"/>
            </a:solidFill>
            <a:ln>
              <a:noFill/>
            </a:ln>
            <a:effectLst/>
          </c:spPr>
          <c:invertIfNegative val="0"/>
          <c:cat>
            <c:strLit>
              <c:ptCount val="1"/>
              <c:pt idx="0">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'income vs expense'!$B$2:$B$6</c15:sqref>
                  </c15:fullRef>
                </c:ext>
              </c:extLst>
              <c:f>'income vs expense'!$B$5</c:f>
              <c:numCache>
                <c:formatCode>General</c:formatCode>
                <c:ptCount val="1"/>
                <c:pt idx="0">
                  <c:v>188812</c:v>
                </c:pt>
              </c:numCache>
            </c:numRef>
          </c:val>
          <c:extLst>
            <c:ext xmlns:c16="http://schemas.microsoft.com/office/drawing/2014/chart" uri="{C3380CC4-5D6E-409C-BE32-E72D297353CC}">
              <c16:uniqueId val="{00000000-5CF6-4D75-B59B-3ECEF74F2B90}"/>
            </c:ext>
          </c:extLst>
        </c:ser>
        <c:ser>
          <c:idx val="1"/>
          <c:order val="1"/>
          <c:tx>
            <c:strRef>
              <c:f>'income vs expense'!$C$1</c:f>
              <c:strCache>
                <c:ptCount val="1"/>
                <c:pt idx="0">
                  <c:v>Expense</c:v>
                </c:pt>
              </c:strCache>
            </c:strRef>
          </c:tx>
          <c:spPr>
            <a:solidFill>
              <a:schemeClr val="accent2"/>
            </a:solidFill>
            <a:ln>
              <a:noFill/>
            </a:ln>
            <a:effectLst/>
          </c:spPr>
          <c:invertIfNegative val="0"/>
          <c:cat>
            <c:strLit>
              <c:ptCount val="1"/>
              <c:pt idx="0">
                <c:v>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'income vs expense'!$C$2:$C$6</c15:sqref>
                  </c15:fullRef>
                </c:ext>
              </c:extLst>
              <c:f>'income vs expense'!$C$5</c:f>
              <c:numCache>
                <c:formatCode>General</c:formatCode>
                <c:ptCount val="1"/>
                <c:pt idx="0">
                  <c:v>309690.23000000016</c:v>
                </c:pt>
              </c:numCache>
            </c:numRef>
          </c:val>
          <c:extLst>
            <c:ext xmlns:c16="http://schemas.microsoft.com/office/drawing/2014/chart" uri="{C3380CC4-5D6E-409C-BE32-E72D297353CC}">
              <c16:uniqueId val="{00000001-5CF6-4D75-B59B-3ECEF74F2B90}"/>
            </c:ext>
          </c:extLst>
        </c:ser>
        <c:dLbls>
          <c:showLegendKey val="0"/>
          <c:showVal val="0"/>
          <c:showCatName val="0"/>
          <c:showSerName val="0"/>
          <c:showPercent val="0"/>
          <c:showBubbleSize val="0"/>
        </c:dLbls>
        <c:gapWidth val="219"/>
        <c:overlap val="-27"/>
        <c:axId val="251416783"/>
        <c:axId val="260354543"/>
      </c:barChart>
      <c:catAx>
        <c:axId val="2514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54543"/>
        <c:crosses val="autoZero"/>
        <c:auto val="1"/>
        <c:lblAlgn val="ctr"/>
        <c:lblOffset val="100"/>
        <c:noMultiLvlLbl val="0"/>
      </c:catAx>
      <c:valAx>
        <c:axId val="26035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416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Types of Expenses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tx>
            <c:strRef>
              <c:f>'types of expenses'!$B$1</c:f>
              <c:strCache>
                <c:ptCount val="1"/>
                <c:pt idx="0">
                  <c:v>Expense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83-4C2B-92FD-2A650E7FB9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83-4C2B-92FD-2A650E7FB9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83-4C2B-92FD-2A650E7FB9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83-4C2B-92FD-2A650E7FB9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83-4C2B-92FD-2A650E7FB9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83-4C2B-92FD-2A650E7FB9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D83-4C2B-92FD-2A650E7FB9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D83-4C2B-92FD-2A650E7FB9DA}"/>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'types of expenses'!$A$2:$A$9</c:f>
              <c:strCache>
                <c:ptCount val="8"/>
                <c:pt idx="0">
                  <c:v>Entertainment</c:v>
                </c:pt>
                <c:pt idx="1">
                  <c:v>Food &amp; Drink</c:v>
                </c:pt>
                <c:pt idx="2">
                  <c:v>Health &amp; Fitness</c:v>
                </c:pt>
                <c:pt idx="3">
                  <c:v>Rent</c:v>
                </c:pt>
                <c:pt idx="4">
                  <c:v>Salary</c:v>
                </c:pt>
                <c:pt idx="5">
                  <c:v>Shopping</c:v>
                </c:pt>
                <c:pt idx="6">
                  <c:v>Travel</c:v>
                </c:pt>
                <c:pt idx="7">
                  <c:v>Utilities</c:v>
                </c:pt>
              </c:strCache>
            </c:strRef>
          </c:cat>
          <c:val>
            <c:numRef>
              <c:f>'types of expenses'!$B$2:$B$9</c:f>
              <c:numCache>
                <c:formatCode>[$$-409]#,##0.00</c:formatCode>
                <c:ptCount val="8"/>
                <c:pt idx="0">
                  <c:v>148165.46999999997</c:v>
                </c:pt>
                <c:pt idx="1">
                  <c:v>159493.39000000004</c:v>
                </c:pt>
                <c:pt idx="2">
                  <c:v>145194.06000000003</c:v>
                </c:pt>
                <c:pt idx="3">
                  <c:v>162075.39000000001</c:v>
                </c:pt>
                <c:pt idx="4">
                  <c:v>149053.55000000005</c:v>
                </c:pt>
                <c:pt idx="5">
                  <c:v>146880.75000000006</c:v>
                </c:pt>
                <c:pt idx="6">
                  <c:v>169497.79000000004</c:v>
                </c:pt>
                <c:pt idx="7">
                  <c:v>146833.97000000003</c:v>
                </c:pt>
              </c:numCache>
            </c:numRef>
          </c:val>
          <c:extLst>
            <c:ext xmlns:c16="http://schemas.microsoft.com/office/drawing/2014/chart" uri="{C3380CC4-5D6E-409C-BE32-E72D297353CC}">
              <c16:uniqueId val="{00000000-1243-484D-8393-27AB61FD0A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'annual income'!$B$1</c:f>
              <c:strCache>
                <c:ptCount val="1"/>
                <c:pt idx="0">
                  <c:v>Annual Income</c:v>
                </c:pt>
              </c:strCache>
            </c:strRef>
          </c:tx>
          <c:spPr>
            <a:solidFill>
              <a:schemeClr val="accent1"/>
            </a:solidFill>
            <a:ln>
              <a:noFill/>
            </a:ln>
            <a:effectLst/>
          </c:spPr>
          <c:invertIfNegative val="0"/>
          <c:cat>
            <c:numRef>
              <c:f>'annual income'!$A$2:$A$6</c:f>
              <c:numCache>
                <c:formatCode>General</c:formatCode>
                <c:ptCount val="5"/>
                <c:pt idx="0">
                  <c:v>2020</c:v>
                </c:pt>
                <c:pt idx="1">
                  <c:v>2021</c:v>
                </c:pt>
                <c:pt idx="2">
                  <c:v>2022</c:v>
                </c:pt>
                <c:pt idx="3">
                  <c:v>2023</c:v>
                </c:pt>
                <c:pt idx="4">
                  <c:v>2024</c:v>
                </c:pt>
              </c:numCache>
            </c:numRef>
          </c:cat>
          <c:val>
            <c:numRef>
              <c:f>'annual income'!$B$2:$B$6</c:f>
              <c:numCache>
                <c:formatCode>[$$-409]#,##0.00</c:formatCode>
                <c:ptCount val="5"/>
                <c:pt idx="0">
                  <c:v>147100</c:v>
                </c:pt>
                <c:pt idx="1">
                  <c:v>190995</c:v>
                </c:pt>
                <c:pt idx="2">
                  <c:v>180409</c:v>
                </c:pt>
                <c:pt idx="3">
                  <c:v>188812</c:v>
                </c:pt>
                <c:pt idx="4">
                  <c:v>26771</c:v>
                </c:pt>
              </c:numCache>
            </c:numRef>
          </c:val>
          <c:extLst>
            <c:ext xmlns:c16="http://schemas.microsoft.com/office/drawing/2014/chart" uri="{C3380CC4-5D6E-409C-BE32-E72D297353CC}">
              <c16:uniqueId val="{00000000-93CA-4605-AA50-ED627766525D}"/>
            </c:ext>
          </c:extLst>
        </c:ser>
        <c:dLbls>
          <c:showLegendKey val="0"/>
          <c:showVal val="0"/>
          <c:showCatName val="0"/>
          <c:showSerName val="0"/>
          <c:showPercent val="0"/>
          <c:showBubbleSize val="0"/>
        </c:dLbls>
        <c:gapWidth val="219"/>
        <c:overlap val="-27"/>
        <c:axId val="2094555296"/>
        <c:axId val="2081464336"/>
      </c:barChart>
      <c:catAx>
        <c:axId val="209455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64336"/>
        <c:crosses val="autoZero"/>
        <c:auto val="1"/>
        <c:lblAlgn val="ctr"/>
        <c:lblOffset val="100"/>
        <c:noMultiLvlLbl val="0"/>
      </c:catAx>
      <c:valAx>
        <c:axId val="208146433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5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'annual income'!$B$1</c:f>
              <c:strCache>
                <c:ptCount val="1"/>
                <c:pt idx="0">
                  <c:v>Annual Income</c:v>
                </c:pt>
              </c:strCache>
            </c:strRef>
          </c:tx>
          <c:spPr>
            <a:solidFill>
              <a:schemeClr val="accent1"/>
            </a:solidFill>
            <a:ln>
              <a:noFill/>
            </a:ln>
            <a:effectLst/>
            <a:sp3d/>
          </c:spPr>
          <c:invertIfNegative val="0"/>
          <c:val>
            <c:numRef>
              <c:f>'annual income'!$B$2:$B$6</c:f>
              <c:numCache>
                <c:formatCode>[$$-409]#,##0.00</c:formatCode>
                <c:ptCount val="5"/>
                <c:pt idx="0">
                  <c:v>147100</c:v>
                </c:pt>
                <c:pt idx="1">
                  <c:v>190995</c:v>
                </c:pt>
                <c:pt idx="2">
                  <c:v>180409</c:v>
                </c:pt>
                <c:pt idx="3">
                  <c:v>188812</c:v>
                </c:pt>
                <c:pt idx="4">
                  <c:v>26771</c:v>
                </c:pt>
              </c:numCache>
            </c:numRef>
          </c:val>
          <c:extLst>
            <c:ext xmlns:c16="http://schemas.microsoft.com/office/drawing/2014/chart" uri="{C3380CC4-5D6E-409C-BE32-E72D297353CC}">
              <c16:uniqueId val="{00000000-8D53-46C0-9E5C-D4CAF66E1315}"/>
            </c:ext>
          </c:extLst>
        </c:ser>
        <c:dLbls>
          <c:showLegendKey val="0"/>
          <c:showVal val="0"/>
          <c:showCatName val="0"/>
          <c:showSerName val="0"/>
          <c:showPercent val="0"/>
          <c:showBubbleSize val="0"/>
        </c:dLbls>
        <c:gapWidth val="150"/>
        <c:shape val="box"/>
        <c:axId val="2094476416"/>
        <c:axId val="2081472496"/>
        <c:axId val="0"/>
      </c:bar3DChart>
      <c:catAx>
        <c:axId val="209447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r>
                  <a:rPr lang="en-GB" baseline="0"/>
                  <a:t> 2020 -2024</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72496"/>
        <c:crosses val="autoZero"/>
        <c:auto val="1"/>
        <c:lblAlgn val="ctr"/>
        <c:lblOffset val="100"/>
        <c:noMultiLvlLbl val="0"/>
      </c:catAx>
      <c:valAx>
        <c:axId val="2081472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'annual income'!$B$1</c:f>
              <c:strCache>
                <c:ptCount val="1"/>
                <c:pt idx="0">
                  <c:v>Annual Income</c:v>
                </c:pt>
              </c:strCache>
            </c:strRef>
          </c:tx>
          <c:spPr>
            <a:ln w="28575" cap="rnd">
              <a:solidFill>
                <a:schemeClr val="accent1"/>
              </a:solidFill>
              <a:round/>
            </a:ln>
            <a:effectLst/>
          </c:spPr>
          <c:marker>
            <c:symbol val="none"/>
          </c:marker>
          <c:cat>
            <c:numRef>
              <c:f>'annual income'!$A$2:$A$6</c:f>
              <c:numCache>
                <c:formatCode>General</c:formatCode>
                <c:ptCount val="5"/>
                <c:pt idx="0">
                  <c:v>2020</c:v>
                </c:pt>
                <c:pt idx="1">
                  <c:v>2021</c:v>
                </c:pt>
                <c:pt idx="2">
                  <c:v>2022</c:v>
                </c:pt>
                <c:pt idx="3">
                  <c:v>2023</c:v>
                </c:pt>
                <c:pt idx="4">
                  <c:v>2024</c:v>
                </c:pt>
              </c:numCache>
            </c:numRef>
          </c:cat>
          <c:val>
            <c:numRef>
              <c:f>'annual income'!$B$2:$B$6</c:f>
              <c:numCache>
                <c:formatCode>[$$-409]#,##0.00</c:formatCode>
                <c:ptCount val="5"/>
                <c:pt idx="0">
                  <c:v>147100</c:v>
                </c:pt>
                <c:pt idx="1">
                  <c:v>190995</c:v>
                </c:pt>
                <c:pt idx="2">
                  <c:v>180409</c:v>
                </c:pt>
                <c:pt idx="3">
                  <c:v>188812</c:v>
                </c:pt>
                <c:pt idx="4">
                  <c:v>26771</c:v>
                </c:pt>
              </c:numCache>
            </c:numRef>
          </c:val>
          <c:smooth val="0"/>
          <c:extLst>
            <c:ext xmlns:c16="http://schemas.microsoft.com/office/drawing/2014/chart" uri="{C3380CC4-5D6E-409C-BE32-E72D297353CC}">
              <c16:uniqueId val="{00000000-7ABD-48F6-BDE9-441976D38AAB}"/>
            </c:ext>
          </c:extLst>
        </c:ser>
        <c:dLbls>
          <c:showLegendKey val="0"/>
          <c:showVal val="0"/>
          <c:showCatName val="0"/>
          <c:showSerName val="0"/>
          <c:showPercent val="0"/>
          <c:showBubbleSize val="0"/>
        </c:dLbls>
        <c:smooth val="0"/>
        <c:axId val="1661904047"/>
        <c:axId val="1143532943"/>
      </c:lineChart>
      <c:catAx>
        <c:axId val="166190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32943"/>
        <c:crosses val="autoZero"/>
        <c:auto val="1"/>
        <c:lblAlgn val="ctr"/>
        <c:lblOffset val="100"/>
        <c:noMultiLvlLbl val="0"/>
      </c:catAx>
      <c:valAx>
        <c:axId val="11435329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904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t>Income Source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'income source'!$A$2</c:f>
              <c:strCache>
                <c:ptCount val="1"/>
                <c:pt idx="0">
                  <c:v>Investment</c:v>
                </c:pt>
              </c:strCache>
            </c:strRef>
          </c:tx>
          <c:spPr>
            <a:solidFill>
              <a:schemeClr val="accent1">
                <a:alpha val="70000"/>
              </a:schemeClr>
            </a:solidFill>
            <a:ln>
              <a:noFill/>
            </a:ln>
            <a:effectLst/>
          </c:spPr>
          <c:invertIfNegative val="0"/>
          <c:cat>
            <c:strRef>
              <c:f>'income source'!$B$1</c:f>
              <c:strCache>
                <c:ptCount val="1"/>
                <c:pt idx="0">
                  <c:v>Income Amount</c:v>
                </c:pt>
              </c:strCache>
            </c:strRef>
          </c:cat>
          <c:val>
            <c:numRef>
              <c:f>'income source'!$B$2</c:f>
              <c:numCache>
                <c:formatCode>[$$-409]#,##0.00</c:formatCode>
                <c:ptCount val="1"/>
                <c:pt idx="0">
                  <c:v>363252</c:v>
                </c:pt>
              </c:numCache>
            </c:numRef>
          </c:val>
          <c:extLst>
            <c:ext xmlns:c16="http://schemas.microsoft.com/office/drawing/2014/chart" uri="{C3380CC4-5D6E-409C-BE32-E72D297353CC}">
              <c16:uniqueId val="{00000000-546C-4990-968C-A74209FDBD5E}"/>
            </c:ext>
          </c:extLst>
        </c:ser>
        <c:ser>
          <c:idx val="1"/>
          <c:order val="1"/>
          <c:tx>
            <c:strRef>
              <c:f>'income source'!$A$3</c:f>
              <c:strCache>
                <c:ptCount val="1"/>
                <c:pt idx="0">
                  <c:v>Other</c:v>
                </c:pt>
              </c:strCache>
            </c:strRef>
          </c:tx>
          <c:spPr>
            <a:solidFill>
              <a:schemeClr val="accent2">
                <a:alpha val="70000"/>
              </a:schemeClr>
            </a:solidFill>
            <a:ln>
              <a:noFill/>
            </a:ln>
            <a:effectLst/>
          </c:spPr>
          <c:invertIfNegative val="0"/>
          <c:cat>
            <c:strRef>
              <c:f>'income source'!$B$1</c:f>
              <c:strCache>
                <c:ptCount val="1"/>
                <c:pt idx="0">
                  <c:v>Income Amount</c:v>
                </c:pt>
              </c:strCache>
            </c:strRef>
          </c:cat>
          <c:val>
            <c:numRef>
              <c:f>'income source'!$B$3</c:f>
              <c:numCache>
                <c:formatCode>[$$-409]#,##0.00</c:formatCode>
                <c:ptCount val="1"/>
                <c:pt idx="0">
                  <c:v>370835</c:v>
                </c:pt>
              </c:numCache>
            </c:numRef>
          </c:val>
          <c:extLst>
            <c:ext xmlns:c16="http://schemas.microsoft.com/office/drawing/2014/chart" uri="{C3380CC4-5D6E-409C-BE32-E72D297353CC}">
              <c16:uniqueId val="{00000001-546C-4990-968C-A74209FDBD5E}"/>
            </c:ext>
          </c:extLst>
        </c:ser>
        <c:dLbls>
          <c:showLegendKey val="0"/>
          <c:showVal val="0"/>
          <c:showCatName val="0"/>
          <c:showSerName val="0"/>
          <c:showPercent val="0"/>
          <c:showBubbleSize val="0"/>
        </c:dLbls>
        <c:gapWidth val="80"/>
        <c:overlap val="25"/>
        <c:axId val="1392148464"/>
        <c:axId val="1288171056"/>
      </c:barChart>
      <c:catAx>
        <c:axId val="13921484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88171056"/>
        <c:crosses val="autoZero"/>
        <c:auto val="1"/>
        <c:lblAlgn val="ctr"/>
        <c:lblOffset val="100"/>
        <c:noMultiLvlLbl val="0"/>
      </c:catAx>
      <c:valAx>
        <c:axId val="1288171056"/>
        <c:scaling>
          <c:orientation val="minMax"/>
          <c:min val="250000"/>
        </c:scaling>
        <c:delete val="0"/>
        <c:axPos val="l"/>
        <c:majorGridlines>
          <c:spPr>
            <a:ln w="9525" cap="flat" cmpd="sng" algn="ctr">
              <a:solidFill>
                <a:schemeClr val="tx1">
                  <a:lumMod val="5000"/>
                  <a:lumOff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9214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Income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income'!$D$5</c:f>
              <c:strCache>
                <c:ptCount val="1"/>
                <c:pt idx="0">
                  <c:v>Monthly Income</c:v>
                </c:pt>
              </c:strCache>
            </c:strRef>
          </c:tx>
          <c:spPr>
            <a:solidFill>
              <a:schemeClr val="accent1"/>
            </a:solidFill>
            <a:ln>
              <a:noFill/>
            </a:ln>
            <a:effectLst/>
          </c:spPr>
          <c:invertIfNegative val="0"/>
          <c:cat>
            <c:numRef>
              <c:f>'monthly income'!$B$6:$B$65</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numRef>
          </c:cat>
          <c:val>
            <c:numRef>
              <c:f>'monthly income'!$D$6:$D$65</c:f>
              <c:numCache>
                <c:formatCode>[$$-409]#,##0.00</c:formatCode>
                <c:ptCount val="12"/>
                <c:pt idx="0">
                  <c:v>15211</c:v>
                </c:pt>
                <c:pt idx="1">
                  <c:v>13902</c:v>
                </c:pt>
                <c:pt idx="2">
                  <c:v>12002</c:v>
                </c:pt>
                <c:pt idx="3">
                  <c:v>13722</c:v>
                </c:pt>
                <c:pt idx="4">
                  <c:v>6092</c:v>
                </c:pt>
                <c:pt idx="5">
                  <c:v>14941</c:v>
                </c:pt>
                <c:pt idx="6">
                  <c:v>6538</c:v>
                </c:pt>
                <c:pt idx="7">
                  <c:v>7744</c:v>
                </c:pt>
                <c:pt idx="8">
                  <c:v>8369</c:v>
                </c:pt>
                <c:pt idx="9">
                  <c:v>12513</c:v>
                </c:pt>
                <c:pt idx="10">
                  <c:v>5600</c:v>
                </c:pt>
                <c:pt idx="11">
                  <c:v>30466</c:v>
                </c:pt>
              </c:numCache>
            </c:numRef>
          </c:val>
          <c:extLst>
            <c:ext xmlns:c16="http://schemas.microsoft.com/office/drawing/2014/chart" uri="{C3380CC4-5D6E-409C-BE32-E72D297353CC}">
              <c16:uniqueId val="{00000000-FCEB-416E-A46F-A86073C41508}"/>
            </c:ext>
          </c:extLst>
        </c:ser>
        <c:dLbls>
          <c:showLegendKey val="0"/>
          <c:showVal val="0"/>
          <c:showCatName val="0"/>
          <c:showSerName val="0"/>
          <c:showPercent val="0"/>
          <c:showBubbleSize val="0"/>
        </c:dLbls>
        <c:gapWidth val="219"/>
        <c:overlap val="-27"/>
        <c:axId val="293477920"/>
        <c:axId val="1288157136"/>
      </c:barChart>
      <c:dateAx>
        <c:axId val="293477920"/>
        <c:scaling>
          <c:orientation val="minMax"/>
        </c:scaling>
        <c:delete val="0"/>
        <c:axPos val="b"/>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57136"/>
        <c:crosses val="autoZero"/>
        <c:auto val="1"/>
        <c:lblOffset val="100"/>
        <c:baseTimeUnit val="months"/>
      </c:dateAx>
      <c:valAx>
        <c:axId val="128815713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7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025371828521433E-2"/>
          <c:y val="5.0925925925925923E-2"/>
          <c:w val="0.86486351706036746"/>
          <c:h val="0.73577136191309422"/>
        </c:manualLayout>
      </c:layout>
      <c:lineChart>
        <c:grouping val="standard"/>
        <c:varyColors val="0"/>
        <c:ser>
          <c:idx val="1"/>
          <c:order val="0"/>
          <c:tx>
            <c:strRef>
              <c:f>'monthly income'!$B$5</c:f>
              <c:strCache>
                <c:ptCount val="1"/>
                <c:pt idx="0">
                  <c:v>Month</c:v>
                </c:pt>
              </c:strCache>
              <c:extLst xmlns:c15="http://schemas.microsoft.com/office/drawing/2012/chart"/>
            </c:strRef>
          </c:tx>
          <c:spPr>
            <a:ln w="28575" cap="rnd">
              <a:solidFill>
                <a:schemeClr val="accent2"/>
              </a:solidFill>
              <a:round/>
            </a:ln>
            <a:effectLst/>
          </c:spPr>
          <c:marker>
            <c:symbol val="none"/>
          </c:marker>
          <c:val>
            <c:numRef>
              <c:f>'monthly income'!$B$6:$B$53</c:f>
              <c:numCache>
                <c:formatCode>d\-mmm</c:formatCode>
                <c:ptCount val="12"/>
                <c:pt idx="0">
                  <c:v>46023</c:v>
                </c:pt>
                <c:pt idx="1">
                  <c:v>46055</c:v>
                </c:pt>
                <c:pt idx="2">
                  <c:v>46084</c:v>
                </c:pt>
                <c:pt idx="3">
                  <c:v>46116</c:v>
                </c:pt>
                <c:pt idx="4">
                  <c:v>46147</c:v>
                </c:pt>
                <c:pt idx="5">
                  <c:v>46179</c:v>
                </c:pt>
                <c:pt idx="6">
                  <c:v>46210</c:v>
                </c:pt>
                <c:pt idx="7">
                  <c:v>46242</c:v>
                </c:pt>
                <c:pt idx="8">
                  <c:v>46274</c:v>
                </c:pt>
                <c:pt idx="9">
                  <c:v>46305</c:v>
                </c:pt>
                <c:pt idx="10">
                  <c:v>46337</c:v>
                </c:pt>
                <c:pt idx="11">
                  <c:v>46368</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1-A6EB-4A33-BEAA-6CE8FC5D90A5}"/>
            </c:ext>
          </c:extLst>
        </c:ser>
        <c:ser>
          <c:idx val="2"/>
          <c:order val="1"/>
          <c:tx>
            <c:strRef>
              <c:f>'monthly income'!$C$5</c:f>
              <c:strCache>
                <c:ptCount val="1"/>
                <c:pt idx="0">
                  <c:v>MonthNum</c:v>
                </c:pt>
              </c:strCache>
              <c:extLst xmlns:c15="http://schemas.microsoft.com/office/drawing/2012/chart"/>
            </c:strRef>
          </c:tx>
          <c:spPr>
            <a:ln w="28575" cap="rnd">
              <a:solidFill>
                <a:schemeClr val="accent3"/>
              </a:solidFill>
              <a:round/>
            </a:ln>
            <a:effectLst/>
          </c:spPr>
          <c:marker>
            <c:symbol val="none"/>
          </c:marker>
          <c:val>
            <c:numRef>
              <c:f>'monthly income'!$C$6:$C$53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A6EB-4A33-BEAA-6CE8FC5D90A5}"/>
            </c:ext>
          </c:extLst>
        </c:ser>
        <c:ser>
          <c:idx val="3"/>
          <c:order val="2"/>
          <c:tx>
            <c:strRef>
              <c:f>'monthly income'!$D$5</c:f>
              <c:strCache>
                <c:ptCount val="1"/>
                <c:pt idx="0">
                  <c:v>Monthly Income</c:v>
                </c:pt>
              </c:strCache>
            </c:strRef>
          </c:tx>
          <c:spPr>
            <a:ln w="28575" cap="rnd">
              <a:solidFill>
                <a:schemeClr val="accent4"/>
              </a:solidFill>
              <a:round/>
            </a:ln>
            <a:effectLst/>
          </c:spPr>
          <c:marker>
            <c:symbol val="none"/>
          </c:marker>
          <c:val>
            <c:numRef>
              <c:f>'monthly income'!$D$6:$D$53</c:f>
              <c:numCache>
                <c:formatCode>[$$-409]#,##0.00</c:formatCode>
                <c:ptCount val="12"/>
                <c:pt idx="0">
                  <c:v>15211</c:v>
                </c:pt>
                <c:pt idx="1">
                  <c:v>13902</c:v>
                </c:pt>
                <c:pt idx="2">
                  <c:v>12002</c:v>
                </c:pt>
                <c:pt idx="3">
                  <c:v>13722</c:v>
                </c:pt>
                <c:pt idx="4">
                  <c:v>6092</c:v>
                </c:pt>
                <c:pt idx="5">
                  <c:v>14941</c:v>
                </c:pt>
                <c:pt idx="6">
                  <c:v>6538</c:v>
                </c:pt>
                <c:pt idx="7">
                  <c:v>7744</c:v>
                </c:pt>
                <c:pt idx="8">
                  <c:v>8369</c:v>
                </c:pt>
                <c:pt idx="9">
                  <c:v>12513</c:v>
                </c:pt>
                <c:pt idx="10">
                  <c:v>5600</c:v>
                </c:pt>
                <c:pt idx="11">
                  <c:v>30466</c:v>
                </c:pt>
              </c:numCache>
            </c:numRef>
          </c:val>
          <c:smooth val="0"/>
          <c:extLst>
            <c:ext xmlns:c16="http://schemas.microsoft.com/office/drawing/2014/chart" uri="{C3380CC4-5D6E-409C-BE32-E72D297353CC}">
              <c16:uniqueId val="{00000003-A6EB-4A33-BEAA-6CE8FC5D90A5}"/>
            </c:ext>
          </c:extLst>
        </c:ser>
        <c:dLbls>
          <c:showLegendKey val="0"/>
          <c:showVal val="0"/>
          <c:showCatName val="0"/>
          <c:showSerName val="0"/>
          <c:showPercent val="0"/>
          <c:showBubbleSize val="0"/>
        </c:dLbls>
        <c:smooth val="0"/>
        <c:axId val="1386105008"/>
        <c:axId val="1288168656"/>
        <c:extLst/>
      </c:lineChart>
      <c:catAx>
        <c:axId val="1386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68656"/>
        <c:crosses val="autoZero"/>
        <c:auto val="1"/>
        <c:lblAlgn val="ctr"/>
        <c:lblOffset val="100"/>
        <c:noMultiLvlLbl val="0"/>
      </c:catAx>
      <c:valAx>
        <c:axId val="1288168656"/>
        <c:scaling>
          <c:orientation val="minMax"/>
        </c:scaling>
        <c:delete val="0"/>
        <c:axPos val="l"/>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0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income'!$C$5</c:f>
              <c:strCache>
                <c:ptCount val="1"/>
                <c:pt idx="0">
                  <c:v>MonthNum</c:v>
                </c:pt>
              </c:strCache>
            </c:strRef>
          </c:tx>
          <c:spPr>
            <a:ln w="28575" cap="rnd">
              <a:solidFill>
                <a:schemeClr val="accent1"/>
              </a:solidFill>
              <a:round/>
            </a:ln>
            <a:effectLst/>
          </c:spPr>
          <c:marker>
            <c:symbol val="none"/>
          </c:marker>
          <c:val>
            <c:numRef>
              <c:f>'monthly income'!$C$6:$C$53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F3FE-4026-A200-717CFA0C70A7}"/>
            </c:ext>
          </c:extLst>
        </c:ser>
        <c:ser>
          <c:idx val="1"/>
          <c:order val="1"/>
          <c:tx>
            <c:strRef>
              <c:f>'monthly income'!$D$5</c:f>
              <c:strCache>
                <c:ptCount val="1"/>
                <c:pt idx="0">
                  <c:v>Monthly Income</c:v>
                </c:pt>
              </c:strCache>
            </c:strRef>
          </c:tx>
          <c:spPr>
            <a:ln w="28575" cap="rnd">
              <a:solidFill>
                <a:schemeClr val="accent2"/>
              </a:solidFill>
              <a:round/>
            </a:ln>
            <a:effectLst/>
          </c:spPr>
          <c:marker>
            <c:symbol val="none"/>
          </c:marker>
          <c:val>
            <c:numRef>
              <c:f>'monthly income'!$D$6:$D$53</c:f>
              <c:numCache>
                <c:formatCode>[$$-409]#,##0.00</c:formatCode>
                <c:ptCount val="12"/>
                <c:pt idx="0">
                  <c:v>15211</c:v>
                </c:pt>
                <c:pt idx="1">
                  <c:v>13902</c:v>
                </c:pt>
                <c:pt idx="2">
                  <c:v>12002</c:v>
                </c:pt>
                <c:pt idx="3">
                  <c:v>13722</c:v>
                </c:pt>
                <c:pt idx="4">
                  <c:v>6092</c:v>
                </c:pt>
                <c:pt idx="5">
                  <c:v>14941</c:v>
                </c:pt>
                <c:pt idx="6">
                  <c:v>6538</c:v>
                </c:pt>
                <c:pt idx="7">
                  <c:v>7744</c:v>
                </c:pt>
                <c:pt idx="8">
                  <c:v>8369</c:v>
                </c:pt>
                <c:pt idx="9">
                  <c:v>12513</c:v>
                </c:pt>
                <c:pt idx="10">
                  <c:v>5600</c:v>
                </c:pt>
                <c:pt idx="11">
                  <c:v>30466</c:v>
                </c:pt>
              </c:numCache>
            </c:numRef>
          </c:val>
          <c:smooth val="0"/>
          <c:extLst>
            <c:ext xmlns:c16="http://schemas.microsoft.com/office/drawing/2014/chart" uri="{C3380CC4-5D6E-409C-BE32-E72D297353CC}">
              <c16:uniqueId val="{00000001-F3FE-4026-A200-717CFA0C70A7}"/>
            </c:ext>
          </c:extLst>
        </c:ser>
        <c:dLbls>
          <c:showLegendKey val="0"/>
          <c:showVal val="0"/>
          <c:showCatName val="0"/>
          <c:showSerName val="0"/>
          <c:showPercent val="0"/>
          <c:showBubbleSize val="0"/>
        </c:dLbls>
        <c:smooth val="0"/>
        <c:axId val="1419180031"/>
        <c:axId val="1339230799"/>
      </c:lineChart>
      <c:catAx>
        <c:axId val="141918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230799"/>
        <c:crosses val="autoZero"/>
        <c:auto val="1"/>
        <c:lblAlgn val="ctr"/>
        <c:lblOffset val="100"/>
        <c:noMultiLvlLbl val="0"/>
      </c:catAx>
      <c:valAx>
        <c:axId val="133923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AUD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8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Investment Income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investment!$C$5</c:f>
              <c:strCache>
                <c:ptCount val="1"/>
                <c:pt idx="0">
                  <c:v>Investment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investment!$A$6:$A$17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investment!$C$6:$C$17</c:f>
              <c:numCache>
                <c:formatCode>[$$-409]#,##0.00</c:formatCode>
                <c:ptCount val="12"/>
                <c:pt idx="0">
                  <c:v>7539</c:v>
                </c:pt>
                <c:pt idx="1">
                  <c:v>19071</c:v>
                </c:pt>
                <c:pt idx="2">
                  <c:v>7616</c:v>
                </c:pt>
                <c:pt idx="3">
                  <c:v>11281</c:v>
                </c:pt>
                <c:pt idx="4">
                  <c:v>7441</c:v>
                </c:pt>
                <c:pt idx="5">
                  <c:v>5763</c:v>
                </c:pt>
                <c:pt idx="6">
                  <c:v>9769</c:v>
                </c:pt>
                <c:pt idx="7">
                  <c:v>12036</c:v>
                </c:pt>
                <c:pt idx="8">
                  <c:v>10509</c:v>
                </c:pt>
                <c:pt idx="9">
                  <c:v>1211</c:v>
                </c:pt>
                <c:pt idx="10">
                  <c:v>9581</c:v>
                </c:pt>
                <c:pt idx="11">
                  <c:v>2258</c:v>
                </c:pt>
              </c:numCache>
            </c:numRef>
          </c:val>
          <c:smooth val="0"/>
          <c:extLst>
            <c:ext xmlns:c16="http://schemas.microsoft.com/office/drawing/2014/chart" uri="{C3380CC4-5D6E-409C-BE32-E72D297353CC}">
              <c16:uniqueId val="{00000000-F4EC-49F8-99FD-E9CAC3AFE25F}"/>
            </c:ext>
          </c:extLst>
        </c:ser>
        <c:dLbls>
          <c:showLegendKey val="0"/>
          <c:showVal val="0"/>
          <c:showCatName val="0"/>
          <c:showSerName val="0"/>
          <c:showPercent val="0"/>
          <c:showBubbleSize val="0"/>
        </c:dLbls>
        <c:marker val="1"/>
        <c:smooth val="0"/>
        <c:axId val="355855711"/>
        <c:axId val="364721007"/>
      </c:lineChart>
      <c:catAx>
        <c:axId val="35585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21007"/>
        <c:crosses val="autoZero"/>
        <c:auto val="1"/>
        <c:lblAlgn val="ctr"/>
        <c:lblOffset val="100"/>
        <c:noMultiLvlLbl val="0"/>
      </c:catAx>
      <c:valAx>
        <c:axId val="36472100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Savings</a:t>
            </a:r>
            <a:r>
              <a:rPr lang="en-GB" baseline="0"/>
              <a:t> Goal</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'2023'!$A$1</c:f>
              <c:strCache>
                <c:ptCount val="1"/>
                <c:pt idx="0">
                  <c:v>savings goal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val>
            <c:numRef>
              <c:f>'2023'!$A$2</c:f>
              <c:numCache>
                <c:formatCode>General</c:formatCode>
                <c:ptCount val="1"/>
                <c:pt idx="0">
                  <c:v>40000</c:v>
                </c:pt>
              </c:numCache>
            </c:numRef>
          </c:val>
          <c:extLst>
            <c:ext xmlns:c16="http://schemas.microsoft.com/office/drawing/2014/chart" uri="{C3380CC4-5D6E-409C-BE32-E72D297353CC}">
              <c16:uniqueId val="{00000000-AA33-471E-8849-E4B43B69BDE3}"/>
            </c:ext>
          </c:extLst>
        </c:ser>
        <c:ser>
          <c:idx val="1"/>
          <c:order val="1"/>
          <c:tx>
            <c:strRef>
              <c:f>'2023'!$B$1</c:f>
              <c:strCache>
                <c:ptCount val="1"/>
                <c:pt idx="0">
                  <c:v>actual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delete val="1"/>
          </c:dLbls>
          <c:val>
            <c:numRef>
              <c:f>'2023'!$B$2</c:f>
              <c:numCache>
                <c:formatCode>General</c:formatCode>
                <c:ptCount val="1"/>
                <c:pt idx="0">
                  <c:v>45000</c:v>
                </c:pt>
              </c:numCache>
            </c:numRef>
          </c:val>
          <c:extLst>
            <c:ext xmlns:c16="http://schemas.microsoft.com/office/drawing/2014/chart" uri="{C3380CC4-5D6E-409C-BE32-E72D297353CC}">
              <c16:uniqueId val="{00000001-AA33-471E-8849-E4B43B69BDE3}"/>
            </c:ext>
          </c:extLst>
        </c:ser>
        <c:dLbls>
          <c:showLegendKey val="0"/>
          <c:showVal val="1"/>
          <c:showCatName val="0"/>
          <c:showSerName val="0"/>
          <c:showPercent val="0"/>
          <c:showBubbleSize val="0"/>
        </c:dLbls>
        <c:gapWidth val="65"/>
        <c:shape val="box"/>
        <c:axId val="1849318015"/>
        <c:axId val="1837972143"/>
        <c:axId val="0"/>
      </c:bar3DChart>
      <c:catAx>
        <c:axId val="18493180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7972143"/>
        <c:crosses val="autoZero"/>
        <c:auto val="1"/>
        <c:lblAlgn val="ctr"/>
        <c:lblOffset val="100"/>
        <c:noMultiLvlLbl val="0"/>
      </c:catAx>
      <c:valAx>
        <c:axId val="1837972143"/>
        <c:scaling>
          <c:orientation val="minMax"/>
          <c:min val="0"/>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931801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'2023'!$I$1</c:f>
              <c:strCache>
                <c:ptCount val="1"/>
                <c:pt idx="0">
                  <c:v>expense goal</c:v>
                </c:pt>
              </c:strCache>
            </c:strRef>
          </c:tx>
          <c:spPr>
            <a:solidFill>
              <a:schemeClr val="accent1"/>
            </a:solidFill>
            <a:ln>
              <a:noFill/>
            </a:ln>
            <a:effectLst/>
            <a:sp3d/>
          </c:spPr>
          <c:invertIfNegative val="0"/>
          <c:val>
            <c:numRef>
              <c:f>'2023'!$I$2</c:f>
              <c:numCache>
                <c:formatCode>General</c:formatCode>
                <c:ptCount val="1"/>
                <c:pt idx="0">
                  <c:v>300000</c:v>
                </c:pt>
              </c:numCache>
            </c:numRef>
          </c:val>
          <c:extLst>
            <c:ext xmlns:c16="http://schemas.microsoft.com/office/drawing/2014/chart" uri="{C3380CC4-5D6E-409C-BE32-E72D297353CC}">
              <c16:uniqueId val="{00000000-A22A-4533-B7D4-1C004204F212}"/>
            </c:ext>
          </c:extLst>
        </c:ser>
        <c:ser>
          <c:idx val="1"/>
          <c:order val="1"/>
          <c:tx>
            <c:strRef>
              <c:f>'2023'!$J$1</c:f>
              <c:strCache>
                <c:ptCount val="1"/>
                <c:pt idx="0">
                  <c:v>actual </c:v>
                </c:pt>
              </c:strCache>
            </c:strRef>
          </c:tx>
          <c:spPr>
            <a:solidFill>
              <a:schemeClr val="accent2"/>
            </a:solidFill>
            <a:ln>
              <a:noFill/>
            </a:ln>
            <a:effectLst/>
            <a:sp3d/>
          </c:spPr>
          <c:invertIfNegative val="0"/>
          <c:val>
            <c:numRef>
              <c:f>'2023'!$J$2</c:f>
              <c:numCache>
                <c:formatCode>General</c:formatCode>
                <c:ptCount val="1"/>
                <c:pt idx="0">
                  <c:v>309690.23</c:v>
                </c:pt>
              </c:numCache>
            </c:numRef>
          </c:val>
          <c:extLst>
            <c:ext xmlns:c16="http://schemas.microsoft.com/office/drawing/2014/chart" uri="{C3380CC4-5D6E-409C-BE32-E72D297353CC}">
              <c16:uniqueId val="{00000001-A22A-4533-B7D4-1C004204F212}"/>
            </c:ext>
          </c:extLst>
        </c:ser>
        <c:dLbls>
          <c:showLegendKey val="0"/>
          <c:showVal val="0"/>
          <c:showCatName val="0"/>
          <c:showSerName val="0"/>
          <c:showPercent val="0"/>
          <c:showBubbleSize val="0"/>
        </c:dLbls>
        <c:gapWidth val="150"/>
        <c:shape val="box"/>
        <c:axId val="260974112"/>
        <c:axId val="1236503824"/>
        <c:axId val="0"/>
      </c:bar3DChart>
      <c:catAx>
        <c:axId val="2609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03824"/>
        <c:crosses val="autoZero"/>
        <c:auto val="1"/>
        <c:lblAlgn val="ctr"/>
        <c:lblOffset val="100"/>
        <c:noMultiLvlLbl val="0"/>
      </c:catAx>
      <c:valAx>
        <c:axId val="123650382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7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Income by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income source'!$B$4</c:f>
              <c:strCache>
                <c:ptCount val="1"/>
                <c:pt idx="0">
                  <c:v>2023 Income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income source'!$A$5:$A$6</c:f>
              <c:strCache>
                <c:ptCount val="2"/>
                <c:pt idx="0">
                  <c:v>Investment</c:v>
                </c:pt>
                <c:pt idx="1">
                  <c:v>Other</c:v>
                </c:pt>
              </c:strCache>
            </c:strRef>
          </c:cat>
          <c:val>
            <c:numRef>
              <c:f>'2023 income source'!$B$5:$B$6</c:f>
              <c:numCache>
                <c:formatCode>"$"#,##0.00</c:formatCode>
                <c:ptCount val="2"/>
                <c:pt idx="0">
                  <c:v>104075</c:v>
                </c:pt>
                <c:pt idx="1">
                  <c:v>84737</c:v>
                </c:pt>
              </c:numCache>
            </c:numRef>
          </c:val>
          <c:extLst>
            <c:ext xmlns:c16="http://schemas.microsoft.com/office/drawing/2014/chart" uri="{C3380CC4-5D6E-409C-BE32-E72D297353CC}">
              <c16:uniqueId val="{00000000-9CA1-4875-A716-A96E8D05F5BE}"/>
            </c:ext>
          </c:extLst>
        </c:ser>
        <c:dLbls>
          <c:showLegendKey val="0"/>
          <c:showVal val="0"/>
          <c:showCatName val="0"/>
          <c:showSerName val="0"/>
          <c:showPercent val="0"/>
          <c:showBubbleSize val="0"/>
        </c:dLbls>
        <c:gapWidth val="219"/>
        <c:overlap val="-27"/>
        <c:axId val="257276480"/>
        <c:axId val="1116653808"/>
      </c:barChart>
      <c:catAx>
        <c:axId val="25727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53808"/>
        <c:crosses val="autoZero"/>
        <c:auto val="1"/>
        <c:lblAlgn val="ctr"/>
        <c:lblOffset val="100"/>
        <c:noMultiLvlLbl val="0"/>
      </c:catAx>
      <c:valAx>
        <c:axId val="1116653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27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Summary!A1"/><Relationship Id="rId7" Type="http://schemas.openxmlformats.org/officeDocument/2006/relationships/chart" Target="../charts/chart4.xml"/><Relationship Id="rId2" Type="http://schemas.openxmlformats.org/officeDocument/2006/relationships/hyperlink" Target="#Expenses!A1"/><Relationship Id="rId1" Type="http://schemas.openxmlformats.org/officeDocument/2006/relationships/hyperlink" Target="#Income!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Summary!A1"/><Relationship Id="rId7" Type="http://schemas.openxmlformats.org/officeDocument/2006/relationships/chart" Target="../charts/chart8.xml"/><Relationship Id="rId2" Type="http://schemas.openxmlformats.org/officeDocument/2006/relationships/hyperlink" Target="#Sheet2!A1"/><Relationship Id="rId1" Type="http://schemas.openxmlformats.org/officeDocument/2006/relationships/hyperlink" Target="#Income!A1"/><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4.png"/><Relationship Id="rId3" Type="http://schemas.openxmlformats.org/officeDocument/2006/relationships/hyperlink" Target="#Summary!A1"/><Relationship Id="rId7" Type="http://schemas.openxmlformats.org/officeDocument/2006/relationships/chart" Target="../charts/chart12.xml"/><Relationship Id="rId12" Type="http://schemas.openxmlformats.org/officeDocument/2006/relationships/chart" Target="../charts/chart15.xml"/><Relationship Id="rId2" Type="http://schemas.openxmlformats.org/officeDocument/2006/relationships/hyperlink" Target="#Expenses!A1"/><Relationship Id="rId1" Type="http://schemas.openxmlformats.org/officeDocument/2006/relationships/hyperlink" Target="#Income!A1"/><Relationship Id="rId6" Type="http://schemas.openxmlformats.org/officeDocument/2006/relationships/chart" Target="../charts/chart11.xml"/><Relationship Id="rId11" Type="http://schemas.openxmlformats.org/officeDocument/2006/relationships/chart" Target="../charts/chart14.xml"/><Relationship Id="rId5" Type="http://schemas.openxmlformats.org/officeDocument/2006/relationships/chart" Target="../charts/chart10.xml"/><Relationship Id="rId10" Type="http://schemas.openxmlformats.org/officeDocument/2006/relationships/chart" Target="../charts/chart13.xml"/><Relationship Id="rId4" Type="http://schemas.openxmlformats.org/officeDocument/2006/relationships/chart" Target="../charts/chart9.xml"/><Relationship Id="rId9" Type="http://schemas.openxmlformats.org/officeDocument/2006/relationships/image" Target="../media/image3.svg"/><Relationship Id="rId14" Type="http://schemas.openxmlformats.org/officeDocument/2006/relationships/image" Target="../media/image5.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31.xml"/><Relationship Id="rId1" Type="http://schemas.openxmlformats.org/officeDocument/2006/relationships/chart" Target="../charts/chart30.xml"/><Relationship Id="rId4" Type="http://schemas.openxmlformats.org/officeDocument/2006/relationships/image" Target="../media/image5.svg"/></Relationships>
</file>

<file path=xl/drawings/_rels/drawing13.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12</xdr:col>
      <xdr:colOff>476250</xdr:colOff>
      <xdr:row>21</xdr:row>
      <xdr:rowOff>80529</xdr:rowOff>
    </xdr:from>
    <xdr:to>
      <xdr:col>18</xdr:col>
      <xdr:colOff>85726</xdr:colOff>
      <xdr:row>36</xdr:row>
      <xdr:rowOff>37234</xdr:rowOff>
    </xdr:to>
    <xdr:sp macro="" textlink="">
      <xdr:nvSpPr>
        <xdr:cNvPr id="8" name="Rectangle: Rounded Corners 7">
          <a:extLst>
            <a:ext uri="{FF2B5EF4-FFF2-40B4-BE49-F238E27FC236}">
              <a16:creationId xmlns:a16="http://schemas.microsoft.com/office/drawing/2014/main" id="{D9D9E8B4-E259-4587-A9E5-D736827E93A1}"/>
            </a:ext>
          </a:extLst>
        </xdr:cNvPr>
        <xdr:cNvSpPr/>
      </xdr:nvSpPr>
      <xdr:spPr>
        <a:xfrm>
          <a:off x="7791450" y="4081029"/>
          <a:ext cx="3267076"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effectLst/>
          </a:endParaRPr>
        </a:p>
        <a:p>
          <a:pPr algn="l"/>
          <a:endParaRPr lang="en-GB" sz="1100"/>
        </a:p>
      </xdr:txBody>
    </xdr:sp>
    <xdr:clientData/>
  </xdr:twoCellAnchor>
  <xdr:twoCellAnchor>
    <xdr:from>
      <xdr:col>19</xdr:col>
      <xdr:colOff>457200</xdr:colOff>
      <xdr:row>51</xdr:row>
      <xdr:rowOff>57150</xdr:rowOff>
    </xdr:from>
    <xdr:to>
      <xdr:col>26</xdr:col>
      <xdr:colOff>409575</xdr:colOff>
      <xdr:row>53</xdr:row>
      <xdr:rowOff>28575</xdr:rowOff>
    </xdr:to>
    <xdr:sp macro="" textlink="">
      <xdr:nvSpPr>
        <xdr:cNvPr id="27" name="Rectangle: Rounded Corners 26">
          <a:extLst>
            <a:ext uri="{FF2B5EF4-FFF2-40B4-BE49-F238E27FC236}">
              <a16:creationId xmlns:a16="http://schemas.microsoft.com/office/drawing/2014/main" id="{E88722F8-C6D6-40D9-83AF-0AD58F4694DF}"/>
            </a:ext>
          </a:extLst>
        </xdr:cNvPr>
        <xdr:cNvSpPr/>
      </xdr:nvSpPr>
      <xdr:spPr>
        <a:xfrm>
          <a:off x="12039600" y="9772650"/>
          <a:ext cx="4219575" cy="35242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447675</xdr:colOff>
      <xdr:row>34</xdr:row>
      <xdr:rowOff>123825</xdr:rowOff>
    </xdr:from>
    <xdr:to>
      <xdr:col>26</xdr:col>
      <xdr:colOff>400050</xdr:colOff>
      <xdr:row>36</xdr:row>
      <xdr:rowOff>95250</xdr:rowOff>
    </xdr:to>
    <xdr:sp macro="" textlink="">
      <xdr:nvSpPr>
        <xdr:cNvPr id="26" name="Rectangle: Rounded Corners 25">
          <a:extLst>
            <a:ext uri="{FF2B5EF4-FFF2-40B4-BE49-F238E27FC236}">
              <a16:creationId xmlns:a16="http://schemas.microsoft.com/office/drawing/2014/main" id="{ECB64FF9-5E4F-4BAC-8501-8A59F43B5315}"/>
            </a:ext>
          </a:extLst>
        </xdr:cNvPr>
        <xdr:cNvSpPr/>
      </xdr:nvSpPr>
      <xdr:spPr>
        <a:xfrm>
          <a:off x="12030075" y="6600825"/>
          <a:ext cx="4219575" cy="35242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409575</xdr:colOff>
      <xdr:row>18</xdr:row>
      <xdr:rowOff>9525</xdr:rowOff>
    </xdr:from>
    <xdr:to>
      <xdr:col>26</xdr:col>
      <xdr:colOff>361950</xdr:colOff>
      <xdr:row>19</xdr:row>
      <xdr:rowOff>171450</xdr:rowOff>
    </xdr:to>
    <xdr:sp macro="" textlink="">
      <xdr:nvSpPr>
        <xdr:cNvPr id="25" name="Rectangle: Rounded Corners 24">
          <a:extLst>
            <a:ext uri="{FF2B5EF4-FFF2-40B4-BE49-F238E27FC236}">
              <a16:creationId xmlns:a16="http://schemas.microsoft.com/office/drawing/2014/main" id="{8AC47473-2D27-E4E5-3132-70586026B188}"/>
            </a:ext>
          </a:extLst>
        </xdr:cNvPr>
        <xdr:cNvSpPr/>
      </xdr:nvSpPr>
      <xdr:spPr>
        <a:xfrm>
          <a:off x="11991975" y="3438525"/>
          <a:ext cx="4219575" cy="35242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36</xdr:col>
      <xdr:colOff>0</xdr:colOff>
      <xdr:row>2</xdr:row>
      <xdr:rowOff>159000</xdr:rowOff>
    </xdr:to>
    <xdr:sp macro="" textlink="">
      <xdr:nvSpPr>
        <xdr:cNvPr id="16" name="Rectangle 15">
          <a:extLst>
            <a:ext uri="{FF2B5EF4-FFF2-40B4-BE49-F238E27FC236}">
              <a16:creationId xmlns:a16="http://schemas.microsoft.com/office/drawing/2014/main" id="{A1A17A00-A3E6-4B01-B0D6-3BF22B914C0A}"/>
            </a:ext>
          </a:extLst>
        </xdr:cNvPr>
        <xdr:cNvSpPr/>
      </xdr:nvSpPr>
      <xdr:spPr>
        <a:xfrm>
          <a:off x="0" y="0"/>
          <a:ext cx="21820909" cy="540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xdr:colOff>
      <xdr:row>0</xdr:row>
      <xdr:rowOff>114300</xdr:rowOff>
    </xdr:from>
    <xdr:to>
      <xdr:col>24</xdr:col>
      <xdr:colOff>400801</xdr:colOff>
      <xdr:row>3</xdr:row>
      <xdr:rowOff>0</xdr:rowOff>
    </xdr:to>
    <xdr:sp macro="" textlink="">
      <xdr:nvSpPr>
        <xdr:cNvPr id="17" name="TextBox 16">
          <a:hlinkClick xmlns:r="http://schemas.openxmlformats.org/officeDocument/2006/relationships" r:id="rId1" tooltip="Income"/>
          <a:extLst>
            <a:ext uri="{FF2B5EF4-FFF2-40B4-BE49-F238E27FC236}">
              <a16:creationId xmlns:a16="http://schemas.microsoft.com/office/drawing/2014/main" id="{2BACACC5-1AAA-4FFB-B369-F1AB471E3CD7}"/>
            </a:ext>
          </a:extLst>
        </xdr:cNvPr>
        <xdr:cNvSpPr txBox="1"/>
      </xdr:nvSpPr>
      <xdr:spPr>
        <a:xfrm>
          <a:off x="13411201"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Income</a:t>
          </a:r>
        </a:p>
      </xdr:txBody>
    </xdr:sp>
    <xdr:clientData/>
  </xdr:twoCellAnchor>
  <xdr:twoCellAnchor>
    <xdr:from>
      <xdr:col>24</xdr:col>
      <xdr:colOff>466726</xdr:colOff>
      <xdr:row>0</xdr:row>
      <xdr:rowOff>114300</xdr:rowOff>
    </xdr:from>
    <xdr:to>
      <xdr:col>27</xdr:col>
      <xdr:colOff>257926</xdr:colOff>
      <xdr:row>3</xdr:row>
      <xdr:rowOff>0</xdr:rowOff>
    </xdr:to>
    <xdr:sp macro="" textlink="">
      <xdr:nvSpPr>
        <xdr:cNvPr id="19" name="TextBox 18">
          <a:hlinkClick xmlns:r="http://schemas.openxmlformats.org/officeDocument/2006/relationships" r:id="rId2" tooltip="Expenses"/>
          <a:extLst>
            <a:ext uri="{FF2B5EF4-FFF2-40B4-BE49-F238E27FC236}">
              <a16:creationId xmlns:a16="http://schemas.microsoft.com/office/drawing/2014/main" id="{94C8A834-896B-4C43-86CD-50137122A3E9}"/>
            </a:ext>
          </a:extLst>
        </xdr:cNvPr>
        <xdr:cNvSpPr txBox="1"/>
      </xdr:nvSpPr>
      <xdr:spPr>
        <a:xfrm>
          <a:off x="15097126"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Expenses</a:t>
          </a:r>
        </a:p>
      </xdr:txBody>
    </xdr:sp>
    <xdr:clientData/>
  </xdr:twoCellAnchor>
  <xdr:twoCellAnchor>
    <xdr:from>
      <xdr:col>27</xdr:col>
      <xdr:colOff>323849</xdr:colOff>
      <xdr:row>0</xdr:row>
      <xdr:rowOff>114300</xdr:rowOff>
    </xdr:from>
    <xdr:to>
      <xdr:col>30</xdr:col>
      <xdr:colOff>115049</xdr:colOff>
      <xdr:row>3</xdr:row>
      <xdr:rowOff>0</xdr:rowOff>
    </xdr:to>
    <xdr:sp macro="" textlink="">
      <xdr:nvSpPr>
        <xdr:cNvPr id="20" name="TextBox 19">
          <a:hlinkClick xmlns:r="http://schemas.openxmlformats.org/officeDocument/2006/relationships" r:id="rId3" tooltip="Summary"/>
          <a:extLst>
            <a:ext uri="{FF2B5EF4-FFF2-40B4-BE49-F238E27FC236}">
              <a16:creationId xmlns:a16="http://schemas.microsoft.com/office/drawing/2014/main" id="{C4343AC6-CFF0-46C5-9D05-BEC6E92131F3}"/>
            </a:ext>
          </a:extLst>
        </xdr:cNvPr>
        <xdr:cNvSpPr txBox="1"/>
      </xdr:nvSpPr>
      <xdr:spPr>
        <a:xfrm>
          <a:off x="16783049"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Summary</a:t>
          </a:r>
        </a:p>
      </xdr:txBody>
    </xdr:sp>
    <xdr:clientData/>
  </xdr:twoCellAnchor>
  <xdr:twoCellAnchor>
    <xdr:from>
      <xdr:col>22</xdr:col>
      <xdr:colOff>276225</xdr:colOff>
      <xdr:row>2</xdr:row>
      <xdr:rowOff>38100</xdr:rowOff>
    </xdr:from>
    <xdr:to>
      <xdr:col>23</xdr:col>
      <xdr:colOff>228600</xdr:colOff>
      <xdr:row>2</xdr:row>
      <xdr:rowOff>104775</xdr:rowOff>
    </xdr:to>
    <xdr:sp macro="" textlink="">
      <xdr:nvSpPr>
        <xdr:cNvPr id="23" name="Rectangle: Rounded Corners 22">
          <a:extLst>
            <a:ext uri="{FF2B5EF4-FFF2-40B4-BE49-F238E27FC236}">
              <a16:creationId xmlns:a16="http://schemas.microsoft.com/office/drawing/2014/main" id="{450B0576-275B-4B37-94EB-AE8961FDC323}"/>
            </a:ext>
          </a:extLst>
        </xdr:cNvPr>
        <xdr:cNvSpPr/>
      </xdr:nvSpPr>
      <xdr:spPr>
        <a:xfrm>
          <a:off x="13687425" y="419100"/>
          <a:ext cx="561975" cy="66675"/>
        </a:xfrm>
        <a:prstGeom prst="roundRect">
          <a:avLst/>
        </a:prstGeom>
        <a:solidFill>
          <a:srgbClr val="0E2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485776</xdr:colOff>
      <xdr:row>4</xdr:row>
      <xdr:rowOff>156729</xdr:rowOff>
    </xdr:from>
    <xdr:to>
      <xdr:col>33</xdr:col>
      <xdr:colOff>276226</xdr:colOff>
      <xdr:row>19</xdr:row>
      <xdr:rowOff>113434</xdr:rowOff>
    </xdr:to>
    <xdr:sp macro="" textlink="">
      <xdr:nvSpPr>
        <xdr:cNvPr id="12" name="Rectangle: Rounded Corners 11">
          <a:extLst>
            <a:ext uri="{FF2B5EF4-FFF2-40B4-BE49-F238E27FC236}">
              <a16:creationId xmlns:a16="http://schemas.microsoft.com/office/drawing/2014/main" id="{1080DAB0-31A6-44D2-AD8E-35A934383AFB}"/>
            </a:ext>
          </a:extLst>
        </xdr:cNvPr>
        <xdr:cNvSpPr/>
      </xdr:nvSpPr>
      <xdr:spPr>
        <a:xfrm>
          <a:off x="11458576" y="918729"/>
          <a:ext cx="8934450"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504826</xdr:colOff>
      <xdr:row>21</xdr:row>
      <xdr:rowOff>77931</xdr:rowOff>
    </xdr:from>
    <xdr:to>
      <xdr:col>33</xdr:col>
      <xdr:colOff>251114</xdr:colOff>
      <xdr:row>36</xdr:row>
      <xdr:rowOff>34636</xdr:rowOff>
    </xdr:to>
    <xdr:sp macro="" textlink="">
      <xdr:nvSpPr>
        <xdr:cNvPr id="13" name="Rectangle: Rounded Corners 12">
          <a:extLst>
            <a:ext uri="{FF2B5EF4-FFF2-40B4-BE49-F238E27FC236}">
              <a16:creationId xmlns:a16="http://schemas.microsoft.com/office/drawing/2014/main" id="{9F3BAA88-7334-46F2-B2BB-ADF2E77B49A6}"/>
            </a:ext>
          </a:extLst>
        </xdr:cNvPr>
        <xdr:cNvSpPr/>
      </xdr:nvSpPr>
      <xdr:spPr>
        <a:xfrm>
          <a:off x="11477626" y="4078431"/>
          <a:ext cx="8890288"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495300</xdr:colOff>
      <xdr:row>38</xdr:row>
      <xdr:rowOff>17317</xdr:rowOff>
    </xdr:from>
    <xdr:to>
      <xdr:col>33</xdr:col>
      <xdr:colOff>240721</xdr:colOff>
      <xdr:row>52</xdr:row>
      <xdr:rowOff>164522</xdr:rowOff>
    </xdr:to>
    <xdr:sp macro="" textlink="">
      <xdr:nvSpPr>
        <xdr:cNvPr id="14" name="Rectangle: Rounded Corners 13">
          <a:extLst>
            <a:ext uri="{FF2B5EF4-FFF2-40B4-BE49-F238E27FC236}">
              <a16:creationId xmlns:a16="http://schemas.microsoft.com/office/drawing/2014/main" id="{D2DA710A-AB11-418A-8A36-0640CB0C8B8F}"/>
            </a:ext>
          </a:extLst>
        </xdr:cNvPr>
        <xdr:cNvSpPr/>
      </xdr:nvSpPr>
      <xdr:spPr>
        <a:xfrm>
          <a:off x="11468100" y="7256317"/>
          <a:ext cx="8889421"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133350</xdr:colOff>
      <xdr:row>5</xdr:row>
      <xdr:rowOff>66675</xdr:rowOff>
    </xdr:from>
    <xdr:to>
      <xdr:col>32</xdr:col>
      <xdr:colOff>47625</xdr:colOff>
      <xdr:row>19</xdr:row>
      <xdr:rowOff>142875</xdr:rowOff>
    </xdr:to>
    <xdr:graphicFrame macro="">
      <xdr:nvGraphicFramePr>
        <xdr:cNvPr id="4" name="Chart 3">
          <a:extLst>
            <a:ext uri="{FF2B5EF4-FFF2-40B4-BE49-F238E27FC236}">
              <a16:creationId xmlns:a16="http://schemas.microsoft.com/office/drawing/2014/main" id="{682D2BF0-4315-4F3E-A83B-B0C5FC47C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66675</xdr:colOff>
      <xdr:row>21</xdr:row>
      <xdr:rowOff>133349</xdr:rowOff>
    </xdr:from>
    <xdr:to>
      <xdr:col>33</xdr:col>
      <xdr:colOff>352424</xdr:colOff>
      <xdr:row>35</xdr:row>
      <xdr:rowOff>167986</xdr:rowOff>
    </xdr:to>
    <xdr:graphicFrame macro="">
      <xdr:nvGraphicFramePr>
        <xdr:cNvPr id="3" name="Chart 2">
          <a:extLst>
            <a:ext uri="{FF2B5EF4-FFF2-40B4-BE49-F238E27FC236}">
              <a16:creationId xmlns:a16="http://schemas.microsoft.com/office/drawing/2014/main" id="{AB9271DB-FE21-4AF6-919D-6566BA5A1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400050</xdr:colOff>
      <xdr:row>38</xdr:row>
      <xdr:rowOff>55418</xdr:rowOff>
    </xdr:from>
    <xdr:to>
      <xdr:col>31</xdr:col>
      <xdr:colOff>350693</xdr:colOff>
      <xdr:row>52</xdr:row>
      <xdr:rowOff>131618</xdr:rowOff>
    </xdr:to>
    <xdr:graphicFrame macro="">
      <xdr:nvGraphicFramePr>
        <xdr:cNvPr id="6" name="Chart 5">
          <a:extLst>
            <a:ext uri="{FF2B5EF4-FFF2-40B4-BE49-F238E27FC236}">
              <a16:creationId xmlns:a16="http://schemas.microsoft.com/office/drawing/2014/main" id="{07C5875B-D3FF-4952-BAA7-EA1B7BAC1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19</xdr:col>
      <xdr:colOff>38100</xdr:colOff>
      <xdr:row>41</xdr:row>
      <xdr:rowOff>68407</xdr:rowOff>
    </xdr:from>
    <xdr:to>
      <xdr:col>21</xdr:col>
      <xdr:colOff>421986</xdr:colOff>
      <xdr:row>49</xdr:row>
      <xdr:rowOff>9525</xdr:rowOff>
    </xdr:to>
    <mc:AlternateContent xmlns:mc="http://schemas.openxmlformats.org/markup-compatibility/2006" xmlns:sle15="http://schemas.microsoft.com/office/drawing/2012/slicer">
      <mc:Choice Requires="sle15">
        <xdr:graphicFrame macro="">
          <xdr:nvGraphicFramePr>
            <xdr:cNvPr id="5" name="Year_Selector_Income 1">
              <a:extLst>
                <a:ext uri="{FF2B5EF4-FFF2-40B4-BE49-F238E27FC236}">
                  <a16:creationId xmlns:a16="http://schemas.microsoft.com/office/drawing/2014/main" id="{3617B153-3902-413F-97F2-9F003AE4DBB8}"/>
                </a:ext>
              </a:extLst>
            </xdr:cNvPr>
            <xdr:cNvGraphicFramePr/>
          </xdr:nvGraphicFramePr>
          <xdr:xfrm>
            <a:off x="0" y="0"/>
            <a:ext cx="0" cy="0"/>
          </xdr:xfrm>
          <a:graphic>
            <a:graphicData uri="http://schemas.microsoft.com/office/drawing/2010/slicer">
              <sle:slicer xmlns:sle="http://schemas.microsoft.com/office/drawing/2010/slicer" name="Year_Selector_Income 1"/>
            </a:graphicData>
          </a:graphic>
        </xdr:graphicFrame>
      </mc:Choice>
      <mc:Fallback xmlns="">
        <xdr:sp macro="" textlink="">
          <xdr:nvSpPr>
            <xdr:cNvPr id="0" name=""/>
            <xdr:cNvSpPr>
              <a:spLocks noTextEdit="1"/>
            </xdr:cNvSpPr>
          </xdr:nvSpPr>
          <xdr:spPr>
            <a:xfrm>
              <a:off x="11620500" y="7878907"/>
              <a:ext cx="1603086" cy="146511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400050</xdr:colOff>
      <xdr:row>4</xdr:row>
      <xdr:rowOff>95250</xdr:rowOff>
    </xdr:from>
    <xdr:to>
      <xdr:col>7</xdr:col>
      <xdr:colOff>104775</xdr:colOff>
      <xdr:row>12</xdr:row>
      <xdr:rowOff>38100</xdr:rowOff>
    </xdr:to>
    <xdr:sp macro="" textlink="">
      <xdr:nvSpPr>
        <xdr:cNvPr id="15" name="TextBox 14">
          <a:extLst>
            <a:ext uri="{FF2B5EF4-FFF2-40B4-BE49-F238E27FC236}">
              <a16:creationId xmlns:a16="http://schemas.microsoft.com/office/drawing/2014/main" id="{00606427-6C86-836F-8E6A-ECEEA780361E}"/>
            </a:ext>
          </a:extLst>
        </xdr:cNvPr>
        <xdr:cNvSpPr txBox="1"/>
      </xdr:nvSpPr>
      <xdr:spPr>
        <a:xfrm>
          <a:off x="400050" y="857250"/>
          <a:ext cx="3971925" cy="146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600" b="1">
              <a:solidFill>
                <a:schemeClr val="bg1"/>
              </a:solidFill>
            </a:rPr>
            <a:t>Income</a:t>
          </a:r>
        </a:p>
      </xdr:txBody>
    </xdr:sp>
    <xdr:clientData/>
  </xdr:twoCellAnchor>
  <xdr:twoCellAnchor>
    <xdr:from>
      <xdr:col>0</xdr:col>
      <xdr:colOff>409575</xdr:colOff>
      <xdr:row>9</xdr:row>
      <xdr:rowOff>133351</xdr:rowOff>
    </xdr:from>
    <xdr:to>
      <xdr:col>8</xdr:col>
      <xdr:colOff>19050</xdr:colOff>
      <xdr:row>10</xdr:row>
      <xdr:rowOff>47625</xdr:rowOff>
    </xdr:to>
    <xdr:sp macro="" textlink="">
      <xdr:nvSpPr>
        <xdr:cNvPr id="28" name="Rectangle: Rounded Corners 27">
          <a:extLst>
            <a:ext uri="{FF2B5EF4-FFF2-40B4-BE49-F238E27FC236}">
              <a16:creationId xmlns:a16="http://schemas.microsoft.com/office/drawing/2014/main" id="{E0B83033-FD1F-4E5D-9D1B-6B689C939D87}"/>
            </a:ext>
          </a:extLst>
        </xdr:cNvPr>
        <xdr:cNvSpPr/>
      </xdr:nvSpPr>
      <xdr:spPr>
        <a:xfrm>
          <a:off x="409575" y="1847851"/>
          <a:ext cx="4486275" cy="104774"/>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395287</xdr:colOff>
      <xdr:row>10</xdr:row>
      <xdr:rowOff>123824</xdr:rowOff>
    </xdr:from>
    <xdr:to>
      <xdr:col>9</xdr:col>
      <xdr:colOff>190501</xdr:colOff>
      <xdr:row>38</xdr:row>
      <xdr:rowOff>9525</xdr:rowOff>
    </xdr:to>
    <xdr:sp macro="" textlink="">
      <xdr:nvSpPr>
        <xdr:cNvPr id="29" name="TextBox 28">
          <a:extLst>
            <a:ext uri="{FF2B5EF4-FFF2-40B4-BE49-F238E27FC236}">
              <a16:creationId xmlns:a16="http://schemas.microsoft.com/office/drawing/2014/main" id="{14C97EE9-D197-1768-97C9-003DBB22ABB0}"/>
            </a:ext>
          </a:extLst>
        </xdr:cNvPr>
        <xdr:cNvSpPr txBox="1"/>
      </xdr:nvSpPr>
      <xdr:spPr>
        <a:xfrm>
          <a:off x="395287" y="2028824"/>
          <a:ext cx="5281614" cy="521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1"/>
              </a:solidFill>
            </a:rPr>
            <a:t>The Income page provides a structured</a:t>
          </a:r>
          <a:r>
            <a:rPr lang="en-GB" sz="1400" b="0" baseline="0">
              <a:solidFill>
                <a:schemeClr val="bg1"/>
              </a:solidFill>
            </a:rPr>
            <a:t> look at</a:t>
          </a:r>
          <a:r>
            <a:rPr lang="en-GB" sz="1400" b="0">
              <a:solidFill>
                <a:schemeClr val="bg1"/>
              </a:solidFill>
            </a:rPr>
            <a:t> income earned over time and from different the different income sources. It is designed to help users monitor earnings, analyse income trends, and better understand there</a:t>
          </a:r>
          <a:r>
            <a:rPr lang="en-GB" sz="1400" b="0" baseline="0">
              <a:solidFill>
                <a:schemeClr val="bg1"/>
              </a:solidFill>
            </a:rPr>
            <a:t> own income.</a:t>
          </a:r>
        </a:p>
        <a:p>
          <a:endParaRPr lang="en-GB" sz="1400" b="0" baseline="0">
            <a:solidFill>
              <a:schemeClr val="bg1"/>
            </a:solidFill>
          </a:endParaRPr>
        </a:p>
        <a:p>
          <a:r>
            <a:rPr lang="en-GB" sz="1400" b="0">
              <a:solidFill>
                <a:schemeClr val="bg1"/>
              </a:solidFill>
            </a:rPr>
            <a:t>Income Source (Column Chart): Displays the total income received from each income category, allowing users to compare the contribution of different income sources, such as salary, investments, or other earnings. </a:t>
          </a:r>
        </a:p>
        <a:p>
          <a:endParaRPr lang="en-GB" sz="1400" b="0">
            <a:solidFill>
              <a:schemeClr val="bg1"/>
            </a:solidFill>
          </a:endParaRPr>
        </a:p>
        <a:p>
          <a:r>
            <a:rPr lang="en-GB" sz="1400" b="0">
              <a:solidFill>
                <a:schemeClr val="bg1"/>
              </a:solidFill>
            </a:rPr>
            <a:t>Annual Income (Horizontal Bar Chart): Shows the total income earned each year, making it easy to compare annual earnings and identify long-term income trends. Monthly </a:t>
          </a:r>
        </a:p>
        <a:p>
          <a:endParaRPr lang="en-GB" sz="1400" b="0">
            <a:solidFill>
              <a:schemeClr val="bg1"/>
            </a:solidFill>
          </a:endParaRPr>
        </a:p>
        <a:p>
          <a:r>
            <a:rPr lang="en-GB" sz="1400" b="0">
              <a:solidFill>
                <a:schemeClr val="bg1"/>
              </a:solidFill>
            </a:rPr>
            <a:t>Income (Line Chart): Illustrates monthly income for the selected year, helping users identify fluctuations in earnings, seasonal patterns, and periods of higher or lower income.</a:t>
          </a:r>
        </a:p>
      </xdr:txBody>
    </xdr:sp>
    <xdr:clientData/>
  </xdr:twoCellAnchor>
  <xdr:twoCellAnchor>
    <xdr:from>
      <xdr:col>0</xdr:col>
      <xdr:colOff>381000</xdr:colOff>
      <xdr:row>31</xdr:row>
      <xdr:rowOff>114300</xdr:rowOff>
    </xdr:from>
    <xdr:to>
      <xdr:col>7</xdr:col>
      <xdr:colOff>600075</xdr:colOff>
      <xdr:row>32</xdr:row>
      <xdr:rowOff>28574</xdr:rowOff>
    </xdr:to>
    <xdr:sp macro="" textlink="">
      <xdr:nvSpPr>
        <xdr:cNvPr id="31" name="Rectangle: Rounded Corners 30">
          <a:extLst>
            <a:ext uri="{FF2B5EF4-FFF2-40B4-BE49-F238E27FC236}">
              <a16:creationId xmlns:a16="http://schemas.microsoft.com/office/drawing/2014/main" id="{365BF13E-0344-4F8E-BCF2-98936B91806D}"/>
            </a:ext>
          </a:extLst>
        </xdr:cNvPr>
        <xdr:cNvSpPr/>
      </xdr:nvSpPr>
      <xdr:spPr>
        <a:xfrm>
          <a:off x="381000" y="6019800"/>
          <a:ext cx="4486275" cy="104774"/>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371475</xdr:colOff>
      <xdr:row>32</xdr:row>
      <xdr:rowOff>161925</xdr:rowOff>
    </xdr:from>
    <xdr:to>
      <xdr:col>9</xdr:col>
      <xdr:colOff>166689</xdr:colOff>
      <xdr:row>60</xdr:row>
      <xdr:rowOff>47626</xdr:rowOff>
    </xdr:to>
    <xdr:sp macro="" textlink="">
      <xdr:nvSpPr>
        <xdr:cNvPr id="32" name="TextBox 31">
          <a:extLst>
            <a:ext uri="{FF2B5EF4-FFF2-40B4-BE49-F238E27FC236}">
              <a16:creationId xmlns:a16="http://schemas.microsoft.com/office/drawing/2014/main" id="{E39613EE-B8E1-42C8-8492-958A62E5A925}"/>
            </a:ext>
          </a:extLst>
        </xdr:cNvPr>
        <xdr:cNvSpPr txBox="1"/>
      </xdr:nvSpPr>
      <xdr:spPr>
        <a:xfrm>
          <a:off x="371475" y="6257925"/>
          <a:ext cx="5281614" cy="521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1"/>
              </a:solidFill>
            </a:rPr>
            <a:t>breaking</a:t>
          </a:r>
          <a:r>
            <a:rPr lang="en-GB" sz="1400" b="0" baseline="0">
              <a:solidFill>
                <a:schemeClr val="bg1"/>
              </a:solidFill>
            </a:rPr>
            <a:t> down income source we have two income source both bringing in similar amounts. The other income group has brought slightly higer income of $370,875 compared to the investment income source of $363,252. </a:t>
          </a:r>
        </a:p>
        <a:p>
          <a:endParaRPr lang="en-GB" sz="1400" b="0" baseline="0">
            <a:solidFill>
              <a:schemeClr val="bg1"/>
            </a:solidFill>
          </a:endParaRPr>
        </a:p>
        <a:p>
          <a:r>
            <a:rPr lang="en-GB" sz="1400" b="0" baseline="0">
              <a:solidFill>
                <a:schemeClr val="bg1"/>
              </a:solidFill>
            </a:rPr>
            <a:t>our lowest annual income year is 2020</a:t>
          </a:r>
          <a:r>
            <a:rPr lang="en-GB" sz="1800" b="0" baseline="0">
              <a:solidFill>
                <a:schemeClr val="bg1"/>
              </a:solidFill>
            </a:rPr>
            <a:t> </a:t>
          </a:r>
          <a:r>
            <a:rPr lang="en-GB" sz="1400" b="0" i="0" u="none" strike="noStrike">
              <a:solidFill>
                <a:schemeClr val="bg1"/>
              </a:solidFill>
              <a:effectLst/>
              <a:latin typeface="+mn-lt"/>
              <a:ea typeface="+mn-ea"/>
              <a:cs typeface="+mn-cs"/>
            </a:rPr>
            <a:t>$147,100.00</a:t>
          </a:r>
          <a:r>
            <a:rPr lang="en-GB" sz="1400">
              <a:solidFill>
                <a:schemeClr val="bg1"/>
              </a:solidFill>
              <a:effectLst/>
            </a:rPr>
            <a:t> whilest the highesdt was the following year 2021 at </a:t>
          </a:r>
          <a:r>
            <a:rPr lang="en-GB" sz="1400" b="0" i="0" u="none" strike="noStrike">
              <a:solidFill>
                <a:schemeClr val="bg1"/>
              </a:solidFill>
              <a:effectLst/>
              <a:latin typeface="+mn-lt"/>
              <a:ea typeface="+mn-ea"/>
              <a:cs typeface="+mn-cs"/>
            </a:rPr>
            <a:t>$190,995.00.</a:t>
          </a:r>
        </a:p>
        <a:p>
          <a:endParaRPr lang="en-GB" sz="1400" b="0" i="0" u="none" strike="noStrike">
            <a:solidFill>
              <a:schemeClr val="bg1"/>
            </a:solidFill>
            <a:effectLst/>
            <a:latin typeface="+mn-lt"/>
            <a:ea typeface="+mn-ea"/>
            <a:cs typeface="+mn-cs"/>
          </a:endParaRPr>
        </a:p>
        <a:p>
          <a:r>
            <a:rPr lang="en-GB" sz="1400" b="0" i="0" u="none" strike="noStrike">
              <a:solidFill>
                <a:schemeClr val="bg1"/>
              </a:solidFill>
              <a:effectLst/>
              <a:latin typeface="+mn-lt"/>
              <a:ea typeface="+mn-ea"/>
              <a:cs typeface="+mn-cs"/>
            </a:rPr>
            <a:t>we see some big fluctatuions from the income of the different</a:t>
          </a:r>
          <a:r>
            <a:rPr lang="en-GB" sz="1400" b="0" i="0" u="none" strike="noStrike" baseline="0">
              <a:solidFill>
                <a:schemeClr val="bg1"/>
              </a:solidFill>
              <a:effectLst/>
              <a:latin typeface="+mn-lt"/>
              <a:ea typeface="+mn-ea"/>
              <a:cs typeface="+mn-cs"/>
            </a:rPr>
            <a:t> months with the patterns chaging on the year. some omnths like 2023 december income dropped to 5000 but another year 2020 it was the highest at other 30,000. </a:t>
          </a:r>
          <a:endParaRPr lang="en-GB" sz="1800" b="0">
            <a:solidFill>
              <a:schemeClr val="bg1"/>
            </a:solidFill>
            <a:effectLst/>
          </a:endParaRPr>
        </a:p>
        <a:p>
          <a:endParaRPr lang="en-GB" sz="1400" b="0">
            <a:solidFill>
              <a:schemeClr val="bg1"/>
            </a:solidFill>
          </a:endParaRPr>
        </a:p>
      </xdr:txBody>
    </xdr:sp>
    <xdr:clientData/>
  </xdr:twoCellAnchor>
  <xdr:twoCellAnchor>
    <xdr:from>
      <xdr:col>12</xdr:col>
      <xdr:colOff>542925</xdr:colOff>
      <xdr:row>4</xdr:row>
      <xdr:rowOff>166254</xdr:rowOff>
    </xdr:from>
    <xdr:to>
      <xdr:col>18</xdr:col>
      <xdr:colOff>152401</xdr:colOff>
      <xdr:row>19</xdr:row>
      <xdr:rowOff>122959</xdr:rowOff>
    </xdr:to>
    <xdr:sp macro="" textlink="">
      <xdr:nvSpPr>
        <xdr:cNvPr id="33" name="Rectangle: Rounded Corners 32">
          <a:extLst>
            <a:ext uri="{FF2B5EF4-FFF2-40B4-BE49-F238E27FC236}">
              <a16:creationId xmlns:a16="http://schemas.microsoft.com/office/drawing/2014/main" id="{483D5F71-D411-40AD-A8F5-EE6D4D4B1A08}"/>
            </a:ext>
          </a:extLst>
        </xdr:cNvPr>
        <xdr:cNvSpPr/>
      </xdr:nvSpPr>
      <xdr:spPr>
        <a:xfrm>
          <a:off x="7858125" y="928254"/>
          <a:ext cx="3267076"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Investment</a:t>
          </a:r>
        </a:p>
        <a:p>
          <a:pPr algn="l"/>
          <a:endParaRPr lang="en-GB" sz="2000"/>
        </a:p>
        <a:p>
          <a:pPr algn="ctr"/>
          <a:r>
            <a:rPr lang="en-GB" sz="2000" b="0" i="0" u="none" strike="noStrike">
              <a:solidFill>
                <a:schemeClr val="lt1"/>
              </a:solidFill>
              <a:effectLst/>
              <a:latin typeface="+mn-lt"/>
              <a:ea typeface="+mn-ea"/>
              <a:cs typeface="+mn-cs"/>
            </a:rPr>
            <a:t>$363,252.00</a:t>
          </a:r>
          <a:r>
            <a:rPr lang="en-GB" sz="2000">
              <a:effectLst/>
            </a:rPr>
            <a:t> </a:t>
          </a:r>
          <a:endParaRPr lang="en-GB" sz="2000"/>
        </a:p>
        <a:p>
          <a:pPr algn="l"/>
          <a:endParaRPr lang="en-GB" sz="2000"/>
        </a:p>
        <a:p>
          <a:pPr algn="l"/>
          <a:r>
            <a:rPr lang="en-GB" sz="2000" b="0" i="0" u="none" strike="noStrike">
              <a:solidFill>
                <a:schemeClr val="lt1"/>
              </a:solidFill>
              <a:effectLst/>
              <a:latin typeface="+mn-lt"/>
              <a:ea typeface="+mn-ea"/>
              <a:cs typeface="+mn-cs"/>
            </a:rPr>
            <a:t>Other</a:t>
          </a:r>
        </a:p>
        <a:p>
          <a:pPr algn="l"/>
          <a:endParaRPr lang="en-GB" sz="2000" b="0" i="0" u="none" strike="noStrike">
            <a:solidFill>
              <a:schemeClr val="lt1"/>
            </a:solidFill>
            <a:effectLst/>
            <a:latin typeface="+mn-lt"/>
            <a:ea typeface="+mn-ea"/>
            <a:cs typeface="+mn-cs"/>
          </a:endParaRPr>
        </a:p>
        <a:p>
          <a:pPr algn="ctr"/>
          <a:r>
            <a:rPr lang="en-GB" sz="2000" b="0" i="0" u="none" strike="noStrike">
              <a:solidFill>
                <a:schemeClr val="lt1"/>
              </a:solidFill>
              <a:effectLst/>
              <a:latin typeface="+mn-lt"/>
              <a:ea typeface="+mn-ea"/>
              <a:cs typeface="+mn-cs"/>
            </a:rPr>
            <a:t>$370,835.00</a:t>
          </a:r>
          <a:r>
            <a:rPr lang="en-GB" sz="2000">
              <a:effectLst/>
            </a:rPr>
            <a:t> </a:t>
          </a:r>
        </a:p>
        <a:p>
          <a:pPr algn="l"/>
          <a:endParaRPr lang="en-GB" sz="1100">
            <a:effectLst/>
          </a:endParaRPr>
        </a:p>
        <a:p>
          <a:pPr algn="l"/>
          <a:endParaRPr lang="en-GB" sz="1100"/>
        </a:p>
      </xdr:txBody>
    </xdr:sp>
    <xdr:clientData/>
  </xdr:twoCellAnchor>
  <xdr:twoCellAnchor>
    <xdr:from>
      <xdr:col>13</xdr:col>
      <xdr:colOff>9525</xdr:colOff>
      <xdr:row>8</xdr:row>
      <xdr:rowOff>19051</xdr:rowOff>
    </xdr:from>
    <xdr:to>
      <xdr:col>16</xdr:col>
      <xdr:colOff>28575</xdr:colOff>
      <xdr:row>8</xdr:row>
      <xdr:rowOff>95250</xdr:rowOff>
    </xdr:to>
    <xdr:sp macro="" textlink="">
      <xdr:nvSpPr>
        <xdr:cNvPr id="34" name="Rectangle: Rounded Corners 33">
          <a:extLst>
            <a:ext uri="{FF2B5EF4-FFF2-40B4-BE49-F238E27FC236}">
              <a16:creationId xmlns:a16="http://schemas.microsoft.com/office/drawing/2014/main" id="{8796DFFF-9790-4418-B854-516E2A7BBB4F}"/>
            </a:ext>
          </a:extLst>
        </xdr:cNvPr>
        <xdr:cNvSpPr/>
      </xdr:nvSpPr>
      <xdr:spPr>
        <a:xfrm>
          <a:off x="7934325" y="1543051"/>
          <a:ext cx="1847850" cy="7619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19050</xdr:colOff>
      <xdr:row>14</xdr:row>
      <xdr:rowOff>104776</xdr:rowOff>
    </xdr:from>
    <xdr:to>
      <xdr:col>16</xdr:col>
      <xdr:colOff>38100</xdr:colOff>
      <xdr:row>14</xdr:row>
      <xdr:rowOff>180975</xdr:rowOff>
    </xdr:to>
    <xdr:sp macro="" textlink="">
      <xdr:nvSpPr>
        <xdr:cNvPr id="35" name="Rectangle: Rounded Corners 34">
          <a:extLst>
            <a:ext uri="{FF2B5EF4-FFF2-40B4-BE49-F238E27FC236}">
              <a16:creationId xmlns:a16="http://schemas.microsoft.com/office/drawing/2014/main" id="{2FB7BA19-9F56-4EC0-9AD1-3E81A535C2D0}"/>
            </a:ext>
          </a:extLst>
        </xdr:cNvPr>
        <xdr:cNvSpPr/>
      </xdr:nvSpPr>
      <xdr:spPr>
        <a:xfrm>
          <a:off x="7943850" y="2771776"/>
          <a:ext cx="1847850" cy="7619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7</xdr:col>
      <xdr:colOff>147204</xdr:colOff>
      <xdr:row>2</xdr:row>
      <xdr:rowOff>114299</xdr:rowOff>
    </xdr:to>
    <xdr:sp macro="" textlink="">
      <xdr:nvSpPr>
        <xdr:cNvPr id="7" name="TextBox 6">
          <a:extLst>
            <a:ext uri="{FF2B5EF4-FFF2-40B4-BE49-F238E27FC236}">
              <a16:creationId xmlns:a16="http://schemas.microsoft.com/office/drawing/2014/main" id="{1177D991-E8C3-41F8-BA9C-E46349BC9C31}"/>
            </a:ext>
          </a:extLst>
        </xdr:cNvPr>
        <xdr:cNvSpPr txBox="1"/>
      </xdr:nvSpPr>
      <xdr:spPr>
        <a:xfrm>
          <a:off x="0" y="0"/>
          <a:ext cx="4390159"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bg1"/>
              </a:solidFill>
              <a:latin typeface="Avenir Next LT Pro" panose="020F0502020204030204" pitchFamily="34" charset="0"/>
              <a:cs typeface="Arial" panose="020B0604020202020204" pitchFamily="34" charset="0"/>
            </a:rPr>
            <a:t>Home</a:t>
          </a:r>
          <a:r>
            <a:rPr lang="en-GB" sz="2400" b="1" baseline="0">
              <a:solidFill>
                <a:schemeClr val="bg1"/>
              </a:solidFill>
              <a:latin typeface="Avenir Next LT Pro" panose="020F0502020204030204" pitchFamily="34" charset="0"/>
              <a:cs typeface="Arial" panose="020B0604020202020204" pitchFamily="34" charset="0"/>
            </a:rPr>
            <a:t> Finance Dashboard </a:t>
          </a:r>
          <a:endParaRPr lang="en-GB" sz="2400" b="1">
            <a:solidFill>
              <a:schemeClr val="bg1"/>
            </a:solidFill>
            <a:latin typeface="Avenir Next LT Pro" panose="020F0502020204030204" pitchFamily="34" charset="0"/>
            <a:cs typeface="Arial" panose="020B0604020202020204" pitchFamily="34" charset="0"/>
          </a:endParaRPr>
        </a:p>
      </xdr:txBody>
    </xdr:sp>
    <xdr:clientData/>
  </xdr:twoCellAnchor>
  <xdr:twoCellAnchor>
    <xdr:from>
      <xdr:col>12</xdr:col>
      <xdr:colOff>571500</xdr:colOff>
      <xdr:row>22</xdr:row>
      <xdr:rowOff>133350</xdr:rowOff>
    </xdr:from>
    <xdr:to>
      <xdr:col>17</xdr:col>
      <xdr:colOff>504824</xdr:colOff>
      <xdr:row>33</xdr:row>
      <xdr:rowOff>133350</xdr:rowOff>
    </xdr:to>
    <xdr:graphicFrame macro="">
      <xdr:nvGraphicFramePr>
        <xdr:cNvPr id="2" name="Chart 1">
          <a:extLst>
            <a:ext uri="{FF2B5EF4-FFF2-40B4-BE49-F238E27FC236}">
              <a16:creationId xmlns:a16="http://schemas.microsoft.com/office/drawing/2014/main" id="{38D64D5C-91C4-4677-B539-9D363513F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438150</xdr:colOff>
      <xdr:row>38</xdr:row>
      <xdr:rowOff>19050</xdr:rowOff>
    </xdr:from>
    <xdr:to>
      <xdr:col>18</xdr:col>
      <xdr:colOff>47626</xdr:colOff>
      <xdr:row>52</xdr:row>
      <xdr:rowOff>166255</xdr:rowOff>
    </xdr:to>
    <xdr:sp macro="" textlink="">
      <xdr:nvSpPr>
        <xdr:cNvPr id="9" name="Rectangle: Rounded Corners 8">
          <a:extLst>
            <a:ext uri="{FF2B5EF4-FFF2-40B4-BE49-F238E27FC236}">
              <a16:creationId xmlns:a16="http://schemas.microsoft.com/office/drawing/2014/main" id="{2F3ABE4D-213F-49F0-B24E-FB95482855D1}"/>
            </a:ext>
          </a:extLst>
        </xdr:cNvPr>
        <xdr:cNvSpPr/>
      </xdr:nvSpPr>
      <xdr:spPr>
        <a:xfrm>
          <a:off x="7753350" y="7258050"/>
          <a:ext cx="3267076" cy="281420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3200">
            <a:effectLst/>
          </a:endParaRPr>
        </a:p>
        <a:p>
          <a:pPr algn="ctr"/>
          <a:r>
            <a:rPr lang="en-GB" sz="3200">
              <a:effectLst/>
            </a:rPr>
            <a:t>Total</a:t>
          </a:r>
          <a:r>
            <a:rPr lang="en-GB" sz="3200" baseline="0">
              <a:effectLst/>
            </a:rPr>
            <a:t> Income</a:t>
          </a:r>
          <a:r>
            <a:rPr lang="en-GB" sz="3200" b="0" i="0" u="none" strike="noStrike" baseline="0">
              <a:solidFill>
                <a:schemeClr val="lt1"/>
              </a:solidFill>
              <a:effectLst/>
              <a:latin typeface="+mn-lt"/>
              <a:ea typeface="+mn-ea"/>
              <a:cs typeface="+mn-cs"/>
            </a:rPr>
            <a:t>:</a:t>
          </a:r>
          <a:r>
            <a:rPr lang="en-GB" sz="3200">
              <a:effectLst/>
            </a:rPr>
            <a:t> </a:t>
          </a:r>
        </a:p>
        <a:p>
          <a:pPr algn="ctr"/>
          <a:r>
            <a:rPr lang="en-GB" sz="3200" b="0" i="0" u="none" strike="noStrike">
              <a:solidFill>
                <a:schemeClr val="lt1"/>
              </a:solidFill>
              <a:effectLst/>
              <a:latin typeface="+mn-lt"/>
              <a:ea typeface="+mn-ea"/>
              <a:cs typeface="+mn-cs"/>
            </a:rPr>
            <a:t>$734,087.00</a:t>
          </a:r>
          <a:r>
            <a:rPr lang="en-GB" sz="3200">
              <a:effectLst/>
            </a:rPr>
            <a:t> </a:t>
          </a:r>
          <a:endParaRPr lang="en-GB" sz="3200"/>
        </a:p>
      </xdr:txBody>
    </xdr:sp>
    <xdr:clientData/>
  </xdr:twoCellAnchor>
  <xdr:twoCellAnchor editAs="oneCell">
    <xdr:from>
      <xdr:col>37</xdr:col>
      <xdr:colOff>0</xdr:colOff>
      <xdr:row>35</xdr:row>
      <xdr:rowOff>0</xdr:rowOff>
    </xdr:from>
    <xdr:to>
      <xdr:col>39</xdr:col>
      <xdr:colOff>381000</xdr:colOff>
      <xdr:row>36</xdr:row>
      <xdr:rowOff>9525</xdr:rowOff>
    </xdr:to>
    <xdr:pic>
      <xdr:nvPicPr>
        <xdr:cNvPr id="10" name="Picture 9">
          <a:extLst>
            <a:ext uri="{FF2B5EF4-FFF2-40B4-BE49-F238E27FC236}">
              <a16:creationId xmlns:a16="http://schemas.microsoft.com/office/drawing/2014/main" id="{97508500-3AE2-B4C7-6361-7148709397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555200" y="6667500"/>
          <a:ext cx="16002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0</xdr:colOff>
      <xdr:row>35</xdr:row>
      <xdr:rowOff>0</xdr:rowOff>
    </xdr:from>
    <xdr:to>
      <xdr:col>39</xdr:col>
      <xdr:colOff>381000</xdr:colOff>
      <xdr:row>36</xdr:row>
      <xdr:rowOff>9525</xdr:rowOff>
    </xdr:to>
    <xdr:pic>
      <xdr:nvPicPr>
        <xdr:cNvPr id="11" name="Picture 10">
          <a:extLst>
            <a:ext uri="{FF2B5EF4-FFF2-40B4-BE49-F238E27FC236}">
              <a16:creationId xmlns:a16="http://schemas.microsoft.com/office/drawing/2014/main" id="{4BBFEC52-5CD2-7351-2706-967C81F924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555200" y="6667500"/>
          <a:ext cx="16002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114300</xdr:colOff>
      <xdr:row>43</xdr:row>
      <xdr:rowOff>171450</xdr:rowOff>
    </xdr:from>
    <xdr:to>
      <xdr:col>17</xdr:col>
      <xdr:colOff>276225</xdr:colOff>
      <xdr:row>44</xdr:row>
      <xdr:rowOff>47625</xdr:rowOff>
    </xdr:to>
    <xdr:sp macro="" textlink="">
      <xdr:nvSpPr>
        <xdr:cNvPr id="24" name="Rectangle: Rounded Corners 23">
          <a:extLst>
            <a:ext uri="{FF2B5EF4-FFF2-40B4-BE49-F238E27FC236}">
              <a16:creationId xmlns:a16="http://schemas.microsoft.com/office/drawing/2014/main" id="{E62AB826-747F-49AC-BE11-8627F822FBDB}"/>
            </a:ext>
          </a:extLst>
        </xdr:cNvPr>
        <xdr:cNvSpPr/>
      </xdr:nvSpPr>
      <xdr:spPr>
        <a:xfrm>
          <a:off x="8039100" y="8362950"/>
          <a:ext cx="2600325" cy="6667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8</xdr:row>
      <xdr:rowOff>104774</xdr:rowOff>
    </xdr:from>
    <xdr:to>
      <xdr:col>6</xdr:col>
      <xdr:colOff>266700</xdr:colOff>
      <xdr:row>56</xdr:row>
      <xdr:rowOff>38099</xdr:rowOff>
    </xdr:to>
    <xdr:sp macro="" textlink="">
      <xdr:nvSpPr>
        <xdr:cNvPr id="51" name="Rectangle 50">
          <a:extLst>
            <a:ext uri="{FF2B5EF4-FFF2-40B4-BE49-F238E27FC236}">
              <a16:creationId xmlns:a16="http://schemas.microsoft.com/office/drawing/2014/main" id="{334E9108-586B-DFE8-99AF-A9AD721538E3}"/>
            </a:ext>
          </a:extLst>
        </xdr:cNvPr>
        <xdr:cNvSpPr/>
      </xdr:nvSpPr>
      <xdr:spPr>
        <a:xfrm>
          <a:off x="161925" y="1628774"/>
          <a:ext cx="3762375" cy="9077325"/>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37</xdr:col>
      <xdr:colOff>77932</xdr:colOff>
      <xdr:row>2</xdr:row>
      <xdr:rowOff>159000</xdr:rowOff>
    </xdr:to>
    <xdr:sp macro="" textlink="">
      <xdr:nvSpPr>
        <xdr:cNvPr id="2" name="Rectangle 1">
          <a:extLst>
            <a:ext uri="{FF2B5EF4-FFF2-40B4-BE49-F238E27FC236}">
              <a16:creationId xmlns:a16="http://schemas.microsoft.com/office/drawing/2014/main" id="{B1F089AD-9730-40E9-A517-77724E1AB26E}"/>
            </a:ext>
          </a:extLst>
        </xdr:cNvPr>
        <xdr:cNvSpPr/>
      </xdr:nvSpPr>
      <xdr:spPr>
        <a:xfrm>
          <a:off x="0" y="0"/>
          <a:ext cx="22504977" cy="540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xdr:colOff>
      <xdr:row>0</xdr:row>
      <xdr:rowOff>114300</xdr:rowOff>
    </xdr:from>
    <xdr:to>
      <xdr:col>24</xdr:col>
      <xdr:colOff>400801</xdr:colOff>
      <xdr:row>3</xdr:row>
      <xdr:rowOff>0</xdr:rowOff>
    </xdr:to>
    <xdr:sp macro="" textlink="">
      <xdr:nvSpPr>
        <xdr:cNvPr id="3" name="TextBox 2">
          <a:hlinkClick xmlns:r="http://schemas.openxmlformats.org/officeDocument/2006/relationships" r:id="rId1" tooltip="Income"/>
          <a:extLst>
            <a:ext uri="{FF2B5EF4-FFF2-40B4-BE49-F238E27FC236}">
              <a16:creationId xmlns:a16="http://schemas.microsoft.com/office/drawing/2014/main" id="{39DF39F2-0DB2-40FC-A138-1636D5A367A1}"/>
            </a:ext>
          </a:extLst>
        </xdr:cNvPr>
        <xdr:cNvSpPr txBox="1"/>
      </xdr:nvSpPr>
      <xdr:spPr>
        <a:xfrm>
          <a:off x="13411201"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Income</a:t>
          </a:r>
        </a:p>
      </xdr:txBody>
    </xdr:sp>
    <xdr:clientData/>
  </xdr:twoCellAnchor>
  <xdr:twoCellAnchor>
    <xdr:from>
      <xdr:col>24</xdr:col>
      <xdr:colOff>466726</xdr:colOff>
      <xdr:row>0</xdr:row>
      <xdr:rowOff>114300</xdr:rowOff>
    </xdr:from>
    <xdr:to>
      <xdr:col>27</xdr:col>
      <xdr:colOff>257926</xdr:colOff>
      <xdr:row>3</xdr:row>
      <xdr:rowOff>0</xdr:rowOff>
    </xdr:to>
    <xdr:sp macro="" textlink="">
      <xdr:nvSpPr>
        <xdr:cNvPr id="5" name="TextBox 4">
          <a:hlinkClick xmlns:r="http://schemas.openxmlformats.org/officeDocument/2006/relationships" r:id="rId2" tooltip="Expenses"/>
          <a:extLst>
            <a:ext uri="{FF2B5EF4-FFF2-40B4-BE49-F238E27FC236}">
              <a16:creationId xmlns:a16="http://schemas.microsoft.com/office/drawing/2014/main" id="{11F0B862-C35E-4359-9FA9-0C6CBC7B819F}"/>
            </a:ext>
          </a:extLst>
        </xdr:cNvPr>
        <xdr:cNvSpPr txBox="1"/>
      </xdr:nvSpPr>
      <xdr:spPr>
        <a:xfrm>
          <a:off x="15097126"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Expenses</a:t>
          </a:r>
        </a:p>
      </xdr:txBody>
    </xdr:sp>
    <xdr:clientData/>
  </xdr:twoCellAnchor>
  <xdr:twoCellAnchor>
    <xdr:from>
      <xdr:col>27</xdr:col>
      <xdr:colOff>323849</xdr:colOff>
      <xdr:row>0</xdr:row>
      <xdr:rowOff>114300</xdr:rowOff>
    </xdr:from>
    <xdr:to>
      <xdr:col>30</xdr:col>
      <xdr:colOff>115049</xdr:colOff>
      <xdr:row>3</xdr:row>
      <xdr:rowOff>0</xdr:rowOff>
    </xdr:to>
    <xdr:sp macro="" textlink="">
      <xdr:nvSpPr>
        <xdr:cNvPr id="6" name="TextBox 5">
          <a:hlinkClick xmlns:r="http://schemas.openxmlformats.org/officeDocument/2006/relationships" r:id="rId3" tooltip="Summary"/>
          <a:extLst>
            <a:ext uri="{FF2B5EF4-FFF2-40B4-BE49-F238E27FC236}">
              <a16:creationId xmlns:a16="http://schemas.microsoft.com/office/drawing/2014/main" id="{2E7A9D17-B2E4-45C0-BCD4-A7C0F56F3E74}"/>
            </a:ext>
          </a:extLst>
        </xdr:cNvPr>
        <xdr:cNvSpPr txBox="1"/>
      </xdr:nvSpPr>
      <xdr:spPr>
        <a:xfrm>
          <a:off x="16783049"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Summary</a:t>
          </a:r>
        </a:p>
      </xdr:txBody>
    </xdr:sp>
    <xdr:clientData/>
  </xdr:twoCellAnchor>
  <xdr:twoCellAnchor>
    <xdr:from>
      <xdr:col>25</xdr:col>
      <xdr:colOff>28575</xdr:colOff>
      <xdr:row>2</xdr:row>
      <xdr:rowOff>38100</xdr:rowOff>
    </xdr:from>
    <xdr:to>
      <xdr:col>25</xdr:col>
      <xdr:colOff>590550</xdr:colOff>
      <xdr:row>2</xdr:row>
      <xdr:rowOff>104775</xdr:rowOff>
    </xdr:to>
    <xdr:sp macro="" textlink="">
      <xdr:nvSpPr>
        <xdr:cNvPr id="8" name="Rectangle: Rounded Corners 7">
          <a:extLst>
            <a:ext uri="{FF2B5EF4-FFF2-40B4-BE49-F238E27FC236}">
              <a16:creationId xmlns:a16="http://schemas.microsoft.com/office/drawing/2014/main" id="{2FD9BF94-EA8B-4DF6-B70A-0AC8A3580604}"/>
            </a:ext>
          </a:extLst>
        </xdr:cNvPr>
        <xdr:cNvSpPr/>
      </xdr:nvSpPr>
      <xdr:spPr>
        <a:xfrm>
          <a:off x="15268575" y="419100"/>
          <a:ext cx="561975" cy="66675"/>
        </a:xfrm>
        <a:prstGeom prst="roundRect">
          <a:avLst/>
        </a:prstGeom>
        <a:solidFill>
          <a:srgbClr val="0E2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228601</xdr:colOff>
      <xdr:row>9</xdr:row>
      <xdr:rowOff>180974</xdr:rowOff>
    </xdr:from>
    <xdr:to>
      <xdr:col>5</xdr:col>
      <xdr:colOff>476251</xdr:colOff>
      <xdr:row>33</xdr:row>
      <xdr:rowOff>28575</xdr:rowOff>
    </xdr:to>
    <xdr:sp macro="" textlink="">
      <xdr:nvSpPr>
        <xdr:cNvPr id="10" name="TextBox 9">
          <a:extLst>
            <a:ext uri="{FF2B5EF4-FFF2-40B4-BE49-F238E27FC236}">
              <a16:creationId xmlns:a16="http://schemas.microsoft.com/office/drawing/2014/main" id="{446240DD-4589-4503-B7B7-DC9B324D1296}"/>
            </a:ext>
          </a:extLst>
        </xdr:cNvPr>
        <xdr:cNvSpPr txBox="1"/>
      </xdr:nvSpPr>
      <xdr:spPr>
        <a:xfrm>
          <a:off x="228601" y="1895474"/>
          <a:ext cx="3295650" cy="441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solidFill>
                <a:schemeClr val="tx1"/>
              </a:solidFill>
            </a:rPr>
            <a:t>The Expenses page provides a full overview of spending patterns across different months</a:t>
          </a:r>
          <a:r>
            <a:rPr lang="en-GB" sz="1200" b="0" baseline="0">
              <a:solidFill>
                <a:schemeClr val="tx1"/>
              </a:solidFill>
            </a:rPr>
            <a:t> and years</a:t>
          </a:r>
          <a:r>
            <a:rPr lang="en-GB" sz="1200" b="0">
              <a:solidFill>
                <a:schemeClr val="tx1"/>
              </a:solidFill>
            </a:rPr>
            <a:t>. It is designed to assist users monitor expenses, identify spending trends, and compare expenses against income for better financial decision-making.</a:t>
          </a:r>
        </a:p>
        <a:p>
          <a:endParaRPr lang="en-GB" sz="1200" b="0">
            <a:solidFill>
              <a:schemeClr val="tx1"/>
            </a:solidFill>
          </a:endParaRPr>
        </a:p>
        <a:p>
          <a:r>
            <a:rPr lang="en-GB" sz="1200" b="0">
              <a:solidFill>
                <a:schemeClr val="tx1"/>
              </a:solidFill>
            </a:rPr>
            <a:t>Expenses by Year (Column Chart): Displays the total annual expenses, allowing users to compare spending across multiple years and identify long-term trends. </a:t>
          </a:r>
        </a:p>
        <a:p>
          <a:endParaRPr lang="en-GB" sz="1200" b="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0">
              <a:solidFill>
                <a:schemeClr val="tx1"/>
              </a:solidFill>
              <a:effectLst/>
              <a:latin typeface="+mn-lt"/>
              <a:ea typeface="+mn-ea"/>
              <a:cs typeface="+mn-cs"/>
            </a:rPr>
            <a:t>Monthly Expenses (Line Chart): Illustrates monthly expense trends for the selected year, helping users identify seasonal spending patterns, unusually high expenditure months, and overall monthly fluctuations.</a:t>
          </a:r>
          <a:endParaRPr lang="en-GB" sz="1200">
            <a:solidFill>
              <a:schemeClr val="tx1"/>
            </a:solidFill>
            <a:effectLst/>
          </a:endParaRPr>
        </a:p>
        <a:p>
          <a:endParaRPr lang="en-GB" sz="1200" b="0">
            <a:solidFill>
              <a:schemeClr val="tx1"/>
            </a:solidFill>
          </a:endParaRPr>
        </a:p>
        <a:p>
          <a:r>
            <a:rPr lang="en-GB" sz="1200" b="0">
              <a:solidFill>
                <a:schemeClr val="tx1"/>
              </a:solidFill>
            </a:rPr>
            <a:t>Income vs Expenses (Clustered Column Chart): Compares annual income and expenses side by side, making it easy to evaluate financial performance and determine whether income exceeds spending. </a:t>
          </a:r>
        </a:p>
      </xdr:txBody>
    </xdr:sp>
    <xdr:clientData/>
  </xdr:twoCellAnchor>
  <xdr:twoCellAnchor>
    <xdr:from>
      <xdr:col>19</xdr:col>
      <xdr:colOff>9525</xdr:colOff>
      <xdr:row>10</xdr:row>
      <xdr:rowOff>123825</xdr:rowOff>
    </xdr:from>
    <xdr:to>
      <xdr:col>33</xdr:col>
      <xdr:colOff>504825</xdr:colOff>
      <xdr:row>31</xdr:row>
      <xdr:rowOff>123825</xdr:rowOff>
    </xdr:to>
    <xdr:graphicFrame macro="">
      <xdr:nvGraphicFramePr>
        <xdr:cNvPr id="18" name="Chart 17">
          <a:extLst>
            <a:ext uri="{FF2B5EF4-FFF2-40B4-BE49-F238E27FC236}">
              <a16:creationId xmlns:a16="http://schemas.microsoft.com/office/drawing/2014/main" id="{29FDDDC3-FD0F-4F63-B683-2322B4661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561975</xdr:colOff>
      <xdr:row>16</xdr:row>
      <xdr:rowOff>76200</xdr:rowOff>
    </xdr:from>
    <xdr:to>
      <xdr:col>19</xdr:col>
      <xdr:colOff>28575</xdr:colOff>
      <xdr:row>26</xdr:row>
      <xdr:rowOff>76200</xdr:rowOff>
    </xdr:to>
    <mc:AlternateContent xmlns:mc="http://schemas.openxmlformats.org/markup-compatibility/2006" xmlns:a14="http://schemas.microsoft.com/office/drawing/2010/main">
      <mc:Choice Requires="a14">
        <xdr:graphicFrame macro="">
          <xdr:nvGraphicFramePr>
            <xdr:cNvPr id="19" name="Year Selector - Expenses 1">
              <a:extLst>
                <a:ext uri="{FF2B5EF4-FFF2-40B4-BE49-F238E27FC236}">
                  <a16:creationId xmlns:a16="http://schemas.microsoft.com/office/drawing/2014/main" id="{5989D3C2-8382-4F35-9541-DF5696C25F5B}"/>
                </a:ext>
              </a:extLst>
            </xdr:cNvPr>
            <xdr:cNvGraphicFramePr/>
          </xdr:nvGraphicFramePr>
          <xdr:xfrm>
            <a:off x="0" y="0"/>
            <a:ext cx="0" cy="0"/>
          </xdr:xfrm>
          <a:graphic>
            <a:graphicData uri="http://schemas.microsoft.com/office/drawing/2010/slicer">
              <sle:slicer xmlns:sle="http://schemas.microsoft.com/office/drawing/2010/slicer" name="Year Selector - Expenses 1"/>
            </a:graphicData>
          </a:graphic>
        </xdr:graphicFrame>
      </mc:Choice>
      <mc:Fallback xmlns="">
        <xdr:sp macro="" textlink="">
          <xdr:nvSpPr>
            <xdr:cNvPr id="0" name=""/>
            <xdr:cNvSpPr>
              <a:spLocks noTextEdit="1"/>
            </xdr:cNvSpPr>
          </xdr:nvSpPr>
          <xdr:spPr>
            <a:xfrm>
              <a:off x="9705975" y="3124200"/>
              <a:ext cx="1905000" cy="190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0</xdr:colOff>
      <xdr:row>31</xdr:row>
      <xdr:rowOff>85725</xdr:rowOff>
    </xdr:from>
    <xdr:ext cx="184731" cy="264560"/>
    <xdr:sp macro="" textlink="">
      <xdr:nvSpPr>
        <xdr:cNvPr id="23" name="TextBox 22">
          <a:extLst>
            <a:ext uri="{FF2B5EF4-FFF2-40B4-BE49-F238E27FC236}">
              <a16:creationId xmlns:a16="http://schemas.microsoft.com/office/drawing/2014/main" id="{F190256F-D4A5-0F40-A516-AAEA56CF0D30}"/>
            </a:ext>
          </a:extLst>
        </xdr:cNvPr>
        <xdr:cNvSpPr txBox="1"/>
      </xdr:nvSpPr>
      <xdr:spPr>
        <a:xfrm>
          <a:off x="12192000" y="5991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absolute">
    <xdr:from>
      <xdr:col>16</xdr:col>
      <xdr:colOff>57150</xdr:colOff>
      <xdr:row>36</xdr:row>
      <xdr:rowOff>133350</xdr:rowOff>
    </xdr:from>
    <xdr:to>
      <xdr:col>19</xdr:col>
      <xdr:colOff>196850</xdr:colOff>
      <xdr:row>47</xdr:row>
      <xdr:rowOff>0</xdr:rowOff>
    </xdr:to>
    <mc:AlternateContent xmlns:mc="http://schemas.openxmlformats.org/markup-compatibility/2006" xmlns:sle15="http://schemas.microsoft.com/office/drawing/2012/slicer">
      <mc:Choice Requires="sle15">
        <xdr:graphicFrame macro="">
          <xdr:nvGraphicFramePr>
            <xdr:cNvPr id="9" name="Year_Selector_Expenses_Sheet6 1">
              <a:extLst>
                <a:ext uri="{FF2B5EF4-FFF2-40B4-BE49-F238E27FC236}">
                  <a16:creationId xmlns:a16="http://schemas.microsoft.com/office/drawing/2014/main" id="{55B06AFB-7345-4AA7-AD1F-720F16BDF6CF}"/>
                </a:ext>
              </a:extLst>
            </xdr:cNvPr>
            <xdr:cNvGraphicFramePr/>
          </xdr:nvGraphicFramePr>
          <xdr:xfrm>
            <a:off x="0" y="0"/>
            <a:ext cx="0" cy="0"/>
          </xdr:xfrm>
          <a:graphic>
            <a:graphicData uri="http://schemas.microsoft.com/office/drawing/2010/slicer">
              <sle:slicer xmlns:sle="http://schemas.microsoft.com/office/drawing/2010/slicer" name="Year_Selector_Expenses_Sheet6 1"/>
            </a:graphicData>
          </a:graphic>
        </xdr:graphicFrame>
      </mc:Choice>
      <mc:Fallback xmlns="">
        <xdr:sp macro="" textlink="">
          <xdr:nvSpPr>
            <xdr:cNvPr id="0" name=""/>
            <xdr:cNvSpPr>
              <a:spLocks noTextEdit="1"/>
            </xdr:cNvSpPr>
          </xdr:nvSpPr>
          <xdr:spPr>
            <a:xfrm>
              <a:off x="9810750" y="6991350"/>
              <a:ext cx="1968500" cy="19621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400050</xdr:colOff>
      <xdr:row>36</xdr:row>
      <xdr:rowOff>38099</xdr:rowOff>
    </xdr:from>
    <xdr:to>
      <xdr:col>32</xdr:col>
      <xdr:colOff>590550</xdr:colOff>
      <xdr:row>56</xdr:row>
      <xdr:rowOff>47624</xdr:rowOff>
    </xdr:to>
    <xdr:graphicFrame macro="">
      <xdr:nvGraphicFramePr>
        <xdr:cNvPr id="12" name="Monthly Expenses Chart">
          <a:extLst>
            <a:ext uri="{FF2B5EF4-FFF2-40B4-BE49-F238E27FC236}">
              <a16:creationId xmlns:a16="http://schemas.microsoft.com/office/drawing/2014/main" id="{95987549-9456-490B-8E0C-8A5D71E40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123242</xdr:colOff>
      <xdr:row>9</xdr:row>
      <xdr:rowOff>180782</xdr:rowOff>
    </xdr:from>
    <xdr:to>
      <xdr:col>14</xdr:col>
      <xdr:colOff>504825</xdr:colOff>
      <xdr:row>31</xdr:row>
      <xdr:rowOff>47626</xdr:rowOff>
    </xdr:to>
    <xdr:graphicFrame macro="">
      <xdr:nvGraphicFramePr>
        <xdr:cNvPr id="15" name="Income vs Expense Chart">
          <a:extLst>
            <a:ext uri="{FF2B5EF4-FFF2-40B4-BE49-F238E27FC236}">
              <a16:creationId xmlns:a16="http://schemas.microsoft.com/office/drawing/2014/main" id="{C5A656A3-1AB6-49E0-B3EC-134EC43C6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233266</xdr:colOff>
      <xdr:row>33</xdr:row>
      <xdr:rowOff>173201</xdr:rowOff>
    </xdr:from>
    <xdr:to>
      <xdr:col>5</xdr:col>
      <xdr:colOff>523876</xdr:colOff>
      <xdr:row>54</xdr:row>
      <xdr:rowOff>85725</xdr:rowOff>
    </xdr:to>
    <xdr:sp macro="" textlink="">
      <xdr:nvSpPr>
        <xdr:cNvPr id="26" name="TextBox 25">
          <a:extLst>
            <a:ext uri="{FF2B5EF4-FFF2-40B4-BE49-F238E27FC236}">
              <a16:creationId xmlns:a16="http://schemas.microsoft.com/office/drawing/2014/main" id="{FBC842A5-5FEF-713B-8D25-E7A588C1DB7F}"/>
            </a:ext>
          </a:extLst>
        </xdr:cNvPr>
        <xdr:cNvSpPr txBox="1"/>
      </xdr:nvSpPr>
      <xdr:spPr>
        <a:xfrm>
          <a:off x="233266" y="6459701"/>
          <a:ext cx="3338610" cy="3913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We note that yearly expeneses have remained consist thought years 2020 to</a:t>
          </a:r>
          <a:r>
            <a:rPr lang="en-GB" sz="1200" baseline="0">
              <a:solidFill>
                <a:schemeClr val="tx1"/>
              </a:solidFill>
            </a:rPr>
            <a:t> 2023 averagung around the 300,000 dollar mark. </a:t>
          </a:r>
        </a:p>
        <a:p>
          <a:endParaRPr lang="en-GB" sz="1200" baseline="0">
            <a:solidFill>
              <a:schemeClr val="tx1"/>
            </a:solidFill>
          </a:endParaRPr>
        </a:p>
        <a:p>
          <a:r>
            <a:rPr lang="en-GB" sz="1200" baseline="0">
              <a:solidFill>
                <a:schemeClr val="tx1"/>
              </a:solidFill>
            </a:rPr>
            <a:t>Tracking the monthly expenses it was found that expenses were down in July. In 2023 november we found an unusal pattern where expenses went down compared to all previous years. overall our monthly expenses generallt sit betwen the 30,000 and 20,000 dollar ranges for al years</a:t>
          </a:r>
        </a:p>
        <a:p>
          <a:endParaRPr lang="en-GB" sz="1200" baseline="0">
            <a:solidFill>
              <a:schemeClr val="tx1"/>
            </a:solidFill>
          </a:endParaRPr>
        </a:p>
        <a:p>
          <a:r>
            <a:rPr lang="en-GB" sz="1200" baseline="0">
              <a:solidFill>
                <a:schemeClr val="tx1"/>
              </a:solidFill>
            </a:rPr>
            <a:t>an area of concern is looking at the income vs expense comparative chart where or income in blue is far below our expenses, particular concern in 2020 where expenses is more than double our income.</a:t>
          </a:r>
        </a:p>
        <a:p>
          <a:endParaRPr lang="en-GB" sz="1200" baseline="0">
            <a:solidFill>
              <a:schemeClr val="tx1"/>
            </a:solidFill>
          </a:endParaRPr>
        </a:p>
        <a:p>
          <a:r>
            <a:rPr lang="en-GB" sz="1200" baseline="0">
              <a:solidFill>
                <a:schemeClr val="tx1"/>
              </a:solidFill>
            </a:rPr>
            <a:t>the pie chart shows a even spread of expses through the different expense types being at, plus or minus 13 percent.</a:t>
          </a:r>
        </a:p>
        <a:p>
          <a:endParaRPr lang="en-GB" sz="1100" baseline="0"/>
        </a:p>
        <a:p>
          <a:endParaRPr lang="en-GB" sz="1100">
            <a:solidFill>
              <a:schemeClr val="bg1"/>
            </a:solidFill>
          </a:endParaRPr>
        </a:p>
      </xdr:txBody>
    </xdr:sp>
    <xdr:clientData/>
  </xdr:twoCellAnchor>
  <xdr:twoCellAnchor>
    <xdr:from>
      <xdr:col>7</xdr:col>
      <xdr:colOff>381000</xdr:colOff>
      <xdr:row>35</xdr:row>
      <xdr:rowOff>67258</xdr:rowOff>
    </xdr:from>
    <xdr:to>
      <xdr:col>15</xdr:col>
      <xdr:colOff>82419</xdr:colOff>
      <xdr:row>54</xdr:row>
      <xdr:rowOff>115854</xdr:rowOff>
    </xdr:to>
    <xdr:graphicFrame macro="">
      <xdr:nvGraphicFramePr>
        <xdr:cNvPr id="27" name="Types of Expenses Pie Chart">
          <a:extLst>
            <a:ext uri="{FF2B5EF4-FFF2-40B4-BE49-F238E27FC236}">
              <a16:creationId xmlns:a16="http://schemas.microsoft.com/office/drawing/2014/main" id="{AB1B754E-D878-4DB1-A145-AC041A816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xdr:row>
      <xdr:rowOff>66675</xdr:rowOff>
    </xdr:from>
    <xdr:to>
      <xdr:col>6</xdr:col>
      <xdr:colOff>342900</xdr:colOff>
      <xdr:row>9</xdr:row>
      <xdr:rowOff>152400</xdr:rowOff>
    </xdr:to>
    <xdr:sp macro="" textlink="">
      <xdr:nvSpPr>
        <xdr:cNvPr id="31" name="TextBox 30">
          <a:extLst>
            <a:ext uri="{FF2B5EF4-FFF2-40B4-BE49-F238E27FC236}">
              <a16:creationId xmlns:a16="http://schemas.microsoft.com/office/drawing/2014/main" id="{004C7786-0C23-D201-DD82-66278FB1BFE3}"/>
            </a:ext>
          </a:extLst>
        </xdr:cNvPr>
        <xdr:cNvSpPr txBox="1"/>
      </xdr:nvSpPr>
      <xdr:spPr>
        <a:xfrm>
          <a:off x="0" y="638175"/>
          <a:ext cx="400050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latin typeface="Avenir Next LT Pro" panose="020B0504020202020204" pitchFamily="34" charset="0"/>
            </a:rPr>
            <a:t>Expenses</a:t>
          </a:r>
        </a:p>
      </xdr:txBody>
    </xdr:sp>
    <xdr:clientData/>
  </xdr:twoCellAnchor>
  <xdr:twoCellAnchor>
    <xdr:from>
      <xdr:col>7</xdr:col>
      <xdr:colOff>409575</xdr:colOff>
      <xdr:row>5</xdr:row>
      <xdr:rowOff>133350</xdr:rowOff>
    </xdr:from>
    <xdr:to>
      <xdr:col>12</xdr:col>
      <xdr:colOff>85725</xdr:colOff>
      <xdr:row>8</xdr:row>
      <xdr:rowOff>114300</xdr:rowOff>
    </xdr:to>
    <xdr:sp macro="" textlink="">
      <xdr:nvSpPr>
        <xdr:cNvPr id="34" name="TextBox 33">
          <a:extLst>
            <a:ext uri="{FF2B5EF4-FFF2-40B4-BE49-F238E27FC236}">
              <a16:creationId xmlns:a16="http://schemas.microsoft.com/office/drawing/2014/main" id="{332D3DF7-F6B5-0974-436F-6207B8BDA546}"/>
            </a:ext>
          </a:extLst>
        </xdr:cNvPr>
        <xdr:cNvSpPr txBox="1"/>
      </xdr:nvSpPr>
      <xdr:spPr>
        <a:xfrm>
          <a:off x="4676775" y="1085850"/>
          <a:ext cx="27241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17CBA0"/>
              </a:solidFill>
            </a:rPr>
            <a:t>Income</a:t>
          </a:r>
          <a:r>
            <a:rPr lang="en-GB" sz="2400" b="1" baseline="0">
              <a:solidFill>
                <a:srgbClr val="17CBA0"/>
              </a:solidFill>
            </a:rPr>
            <a:t> VS Expense</a:t>
          </a:r>
          <a:endParaRPr lang="en-GB" sz="2400" b="1">
            <a:solidFill>
              <a:srgbClr val="17CBA0"/>
            </a:solidFill>
          </a:endParaRPr>
        </a:p>
      </xdr:txBody>
    </xdr:sp>
    <xdr:clientData/>
  </xdr:twoCellAnchor>
  <xdr:twoCellAnchor>
    <xdr:from>
      <xdr:col>7</xdr:col>
      <xdr:colOff>419100</xdr:colOff>
      <xdr:row>31</xdr:row>
      <xdr:rowOff>171450</xdr:rowOff>
    </xdr:from>
    <xdr:to>
      <xdr:col>12</xdr:col>
      <xdr:colOff>95250</xdr:colOff>
      <xdr:row>34</xdr:row>
      <xdr:rowOff>152400</xdr:rowOff>
    </xdr:to>
    <xdr:sp macro="" textlink="">
      <xdr:nvSpPr>
        <xdr:cNvPr id="35" name="TextBox 34">
          <a:extLst>
            <a:ext uri="{FF2B5EF4-FFF2-40B4-BE49-F238E27FC236}">
              <a16:creationId xmlns:a16="http://schemas.microsoft.com/office/drawing/2014/main" id="{4F31B83E-83EB-4093-BA40-2FB4FC7D4C45}"/>
            </a:ext>
          </a:extLst>
        </xdr:cNvPr>
        <xdr:cNvSpPr txBox="1"/>
      </xdr:nvSpPr>
      <xdr:spPr>
        <a:xfrm>
          <a:off x="4686300" y="6076950"/>
          <a:ext cx="27241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17CBA0"/>
              </a:solidFill>
            </a:rPr>
            <a:t>Expense</a:t>
          </a:r>
          <a:r>
            <a:rPr lang="en-GB" sz="2400" b="1" baseline="0">
              <a:solidFill>
                <a:srgbClr val="17CBA0"/>
              </a:solidFill>
            </a:rPr>
            <a:t> Type</a:t>
          </a:r>
          <a:endParaRPr lang="en-GB" sz="2400" b="1">
            <a:solidFill>
              <a:srgbClr val="17CBA0"/>
            </a:solidFill>
          </a:endParaRPr>
        </a:p>
      </xdr:txBody>
    </xdr:sp>
    <xdr:clientData/>
  </xdr:twoCellAnchor>
  <xdr:twoCellAnchor>
    <xdr:from>
      <xdr:col>15</xdr:col>
      <xdr:colOff>600075</xdr:colOff>
      <xdr:row>34</xdr:row>
      <xdr:rowOff>161926</xdr:rowOff>
    </xdr:from>
    <xdr:to>
      <xdr:col>33</xdr:col>
      <xdr:colOff>571500</xdr:colOff>
      <xdr:row>35</xdr:row>
      <xdr:rowOff>76200</xdr:rowOff>
    </xdr:to>
    <xdr:sp macro="" textlink="">
      <xdr:nvSpPr>
        <xdr:cNvPr id="36" name="Rectangle 35">
          <a:extLst>
            <a:ext uri="{FF2B5EF4-FFF2-40B4-BE49-F238E27FC236}">
              <a16:creationId xmlns:a16="http://schemas.microsoft.com/office/drawing/2014/main" id="{06468808-BA0D-42E5-9D6E-BF52AB43A7C6}"/>
            </a:ext>
          </a:extLst>
        </xdr:cNvPr>
        <xdr:cNvSpPr/>
      </xdr:nvSpPr>
      <xdr:spPr>
        <a:xfrm>
          <a:off x="9744075" y="6638926"/>
          <a:ext cx="10944225" cy="104774"/>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504825</xdr:colOff>
      <xdr:row>8</xdr:row>
      <xdr:rowOff>123825</xdr:rowOff>
    </xdr:from>
    <xdr:to>
      <xdr:col>33</xdr:col>
      <xdr:colOff>476250</xdr:colOff>
      <xdr:row>9</xdr:row>
      <xdr:rowOff>38100</xdr:rowOff>
    </xdr:to>
    <xdr:sp macro="" textlink="">
      <xdr:nvSpPr>
        <xdr:cNvPr id="37" name="Rectangle 36">
          <a:extLst>
            <a:ext uri="{FF2B5EF4-FFF2-40B4-BE49-F238E27FC236}">
              <a16:creationId xmlns:a16="http://schemas.microsoft.com/office/drawing/2014/main" id="{32E9919A-C37B-4D72-BB6F-F125E8A67DE4}"/>
            </a:ext>
          </a:extLst>
        </xdr:cNvPr>
        <xdr:cNvSpPr/>
      </xdr:nvSpPr>
      <xdr:spPr>
        <a:xfrm>
          <a:off x="9648825" y="1647825"/>
          <a:ext cx="10944225" cy="104775"/>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447675</xdr:colOff>
      <xdr:row>5</xdr:row>
      <xdr:rowOff>114300</xdr:rowOff>
    </xdr:from>
    <xdr:to>
      <xdr:col>20</xdr:col>
      <xdr:colOff>123825</xdr:colOff>
      <xdr:row>8</xdr:row>
      <xdr:rowOff>95250</xdr:rowOff>
    </xdr:to>
    <xdr:sp macro="" textlink="">
      <xdr:nvSpPr>
        <xdr:cNvPr id="38" name="TextBox 37">
          <a:extLst>
            <a:ext uri="{FF2B5EF4-FFF2-40B4-BE49-F238E27FC236}">
              <a16:creationId xmlns:a16="http://schemas.microsoft.com/office/drawing/2014/main" id="{FD4AD4C5-1FCD-4FDA-B83D-E74B9294A823}"/>
            </a:ext>
          </a:extLst>
        </xdr:cNvPr>
        <xdr:cNvSpPr txBox="1"/>
      </xdr:nvSpPr>
      <xdr:spPr>
        <a:xfrm>
          <a:off x="9591675" y="1066800"/>
          <a:ext cx="27241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17CBA0"/>
              </a:solidFill>
            </a:rPr>
            <a:t>Annual</a:t>
          </a:r>
          <a:r>
            <a:rPr lang="en-GB" sz="2400" b="1" baseline="0">
              <a:solidFill>
                <a:srgbClr val="17CBA0"/>
              </a:solidFill>
            </a:rPr>
            <a:t> Expenses</a:t>
          </a:r>
          <a:endParaRPr lang="en-GB" sz="2400" b="1">
            <a:solidFill>
              <a:srgbClr val="17CBA0"/>
            </a:solidFill>
          </a:endParaRPr>
        </a:p>
      </xdr:txBody>
    </xdr:sp>
    <xdr:clientData/>
  </xdr:twoCellAnchor>
  <xdr:twoCellAnchor>
    <xdr:from>
      <xdr:col>16</xdr:col>
      <xdr:colOff>0</xdr:colOff>
      <xdr:row>31</xdr:row>
      <xdr:rowOff>66675</xdr:rowOff>
    </xdr:from>
    <xdr:to>
      <xdr:col>20</xdr:col>
      <xdr:colOff>285750</xdr:colOff>
      <xdr:row>34</xdr:row>
      <xdr:rowOff>47625</xdr:rowOff>
    </xdr:to>
    <xdr:sp macro="" textlink="">
      <xdr:nvSpPr>
        <xdr:cNvPr id="39" name="TextBox 38">
          <a:extLst>
            <a:ext uri="{FF2B5EF4-FFF2-40B4-BE49-F238E27FC236}">
              <a16:creationId xmlns:a16="http://schemas.microsoft.com/office/drawing/2014/main" id="{4C90E343-5098-4C07-B159-998E14248A3B}"/>
            </a:ext>
          </a:extLst>
        </xdr:cNvPr>
        <xdr:cNvSpPr txBox="1"/>
      </xdr:nvSpPr>
      <xdr:spPr>
        <a:xfrm>
          <a:off x="9753600" y="5972175"/>
          <a:ext cx="27241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17CBA0"/>
              </a:solidFill>
            </a:rPr>
            <a:t>Monthly</a:t>
          </a:r>
          <a:r>
            <a:rPr lang="en-GB" sz="2400" b="1" baseline="0">
              <a:solidFill>
                <a:srgbClr val="17CBA0"/>
              </a:solidFill>
            </a:rPr>
            <a:t> Expenses</a:t>
          </a:r>
          <a:endParaRPr lang="en-GB" sz="2400" b="1">
            <a:solidFill>
              <a:srgbClr val="17CBA0"/>
            </a:solidFill>
          </a:endParaRPr>
        </a:p>
      </xdr:txBody>
    </xdr:sp>
    <xdr:clientData/>
  </xdr:twoCellAnchor>
  <xdr:twoCellAnchor>
    <xdr:from>
      <xdr:col>0</xdr:col>
      <xdr:colOff>0</xdr:colOff>
      <xdr:row>0</xdr:row>
      <xdr:rowOff>0</xdr:rowOff>
    </xdr:from>
    <xdr:to>
      <xdr:col>7</xdr:col>
      <xdr:colOff>277090</xdr:colOff>
      <xdr:row>2</xdr:row>
      <xdr:rowOff>114299</xdr:rowOff>
    </xdr:to>
    <xdr:sp macro="" textlink="">
      <xdr:nvSpPr>
        <xdr:cNvPr id="41" name="TextBox 40">
          <a:extLst>
            <a:ext uri="{FF2B5EF4-FFF2-40B4-BE49-F238E27FC236}">
              <a16:creationId xmlns:a16="http://schemas.microsoft.com/office/drawing/2014/main" id="{114A8AA6-526C-4472-84AF-021546EDE1C2}"/>
            </a:ext>
          </a:extLst>
        </xdr:cNvPr>
        <xdr:cNvSpPr txBox="1"/>
      </xdr:nvSpPr>
      <xdr:spPr>
        <a:xfrm>
          <a:off x="0" y="0"/>
          <a:ext cx="4520045"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bg1"/>
              </a:solidFill>
              <a:latin typeface="Avenir Next LT Pro" panose="020F0502020204030204" pitchFamily="34" charset="0"/>
              <a:cs typeface="Arial" panose="020B0604020202020204" pitchFamily="34" charset="0"/>
            </a:rPr>
            <a:t>Home</a:t>
          </a:r>
          <a:r>
            <a:rPr lang="en-GB" sz="2400" b="1" baseline="0">
              <a:solidFill>
                <a:schemeClr val="bg1"/>
              </a:solidFill>
              <a:latin typeface="Avenir Next LT Pro" panose="020F0502020204030204" pitchFamily="34" charset="0"/>
              <a:cs typeface="Arial" panose="020B0604020202020204" pitchFamily="34" charset="0"/>
            </a:rPr>
            <a:t> Finance Dashboard </a:t>
          </a:r>
          <a:endParaRPr lang="en-GB" sz="2400" b="1">
            <a:solidFill>
              <a:schemeClr val="bg1"/>
            </a:solidFill>
            <a:latin typeface="Avenir Next LT Pro" panose="020F0502020204030204" pitchFamily="34" charset="0"/>
            <a:cs typeface="Arial" panose="020B0604020202020204" pitchFamily="34" charset="0"/>
          </a:endParaRPr>
        </a:p>
      </xdr:txBody>
    </xdr:sp>
    <xdr:clientData/>
  </xdr:twoCellAnchor>
  <xdr:twoCellAnchor>
    <xdr:from>
      <xdr:col>15</xdr:col>
      <xdr:colOff>504826</xdr:colOff>
      <xdr:row>10</xdr:row>
      <xdr:rowOff>9525</xdr:rowOff>
    </xdr:from>
    <xdr:to>
      <xdr:col>19</xdr:col>
      <xdr:colOff>85725</xdr:colOff>
      <xdr:row>14</xdr:row>
      <xdr:rowOff>66675</xdr:rowOff>
    </xdr:to>
    <xdr:sp macro="" textlink="">
      <xdr:nvSpPr>
        <xdr:cNvPr id="46" name="Rectangle 45">
          <a:extLst>
            <a:ext uri="{FF2B5EF4-FFF2-40B4-BE49-F238E27FC236}">
              <a16:creationId xmlns:a16="http://schemas.microsoft.com/office/drawing/2014/main" id="{3281536F-3A2E-4BFD-AFC6-21ADFAEBB482}"/>
            </a:ext>
          </a:extLst>
        </xdr:cNvPr>
        <xdr:cNvSpPr/>
      </xdr:nvSpPr>
      <xdr:spPr>
        <a:xfrm>
          <a:off x="9648826" y="1914525"/>
          <a:ext cx="2019299" cy="819150"/>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u="sng">
              <a:latin typeface="Avenir Next LT Pro" panose="020B0504020202020204" pitchFamily="34" charset="0"/>
            </a:rPr>
            <a:t>2020</a:t>
          </a:r>
        </a:p>
        <a:p>
          <a:pPr algn="ctr"/>
          <a:r>
            <a:rPr lang="en-GB" sz="1800" b="0" i="0" u="none" strike="noStrike">
              <a:solidFill>
                <a:schemeClr val="lt1"/>
              </a:solidFill>
              <a:effectLst/>
              <a:latin typeface="Avenir Next LT Pro" panose="020B0504020202020204" pitchFamily="34" charset="0"/>
              <a:ea typeface="+mn-ea"/>
              <a:cs typeface="+mn-cs"/>
            </a:rPr>
            <a:t>313192.34</a:t>
          </a:r>
          <a:r>
            <a:rPr lang="en-GB" sz="1800" b="0">
              <a:effectLst/>
              <a:latin typeface="Avenir Next LT Pro" panose="020B0504020202020204" pitchFamily="34" charset="0"/>
            </a:rPr>
            <a:t> </a:t>
          </a:r>
          <a:endParaRPr lang="en-GB" sz="1800" b="0">
            <a:latin typeface="Avenir Next LT Pro" panose="020B0504020202020204" pitchFamily="34" charset="0"/>
          </a:endParaRPr>
        </a:p>
        <a:p>
          <a:pPr algn="l"/>
          <a:endParaRPr lang="en-GB" sz="1100"/>
        </a:p>
      </xdr:txBody>
    </xdr:sp>
    <xdr:clientData/>
  </xdr:twoCellAnchor>
  <xdr:twoCellAnchor>
    <xdr:from>
      <xdr:col>19</xdr:col>
      <xdr:colOff>276226</xdr:colOff>
      <xdr:row>10</xdr:row>
      <xdr:rowOff>9525</xdr:rowOff>
    </xdr:from>
    <xdr:to>
      <xdr:col>22</xdr:col>
      <xdr:colOff>466725</xdr:colOff>
      <xdr:row>14</xdr:row>
      <xdr:rowOff>66675</xdr:rowOff>
    </xdr:to>
    <xdr:sp macro="" textlink="">
      <xdr:nvSpPr>
        <xdr:cNvPr id="47" name="Rectangle 46">
          <a:extLst>
            <a:ext uri="{FF2B5EF4-FFF2-40B4-BE49-F238E27FC236}">
              <a16:creationId xmlns:a16="http://schemas.microsoft.com/office/drawing/2014/main" id="{DB5F1410-0992-4019-B492-44ABB0783380}"/>
            </a:ext>
          </a:extLst>
        </xdr:cNvPr>
        <xdr:cNvSpPr/>
      </xdr:nvSpPr>
      <xdr:spPr>
        <a:xfrm>
          <a:off x="11858626" y="1914525"/>
          <a:ext cx="2019299" cy="819150"/>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u="sng">
              <a:latin typeface="Avenir Next LT Pro" panose="020B0504020202020204" pitchFamily="34" charset="0"/>
            </a:rPr>
            <a:t>2021</a:t>
          </a:r>
        </a:p>
        <a:p>
          <a:pPr algn="ctr"/>
          <a:r>
            <a:rPr lang="en-GB" sz="1800" b="0" i="0" u="none" strike="noStrike">
              <a:solidFill>
                <a:schemeClr val="lt1"/>
              </a:solidFill>
              <a:effectLst/>
              <a:latin typeface="+mn-lt"/>
              <a:ea typeface="+mn-ea"/>
              <a:cs typeface="+mn-cs"/>
            </a:rPr>
            <a:t>305893.07</a:t>
          </a:r>
          <a:r>
            <a:rPr lang="en-GB" sz="1800">
              <a:effectLst/>
            </a:rPr>
            <a:t> </a:t>
          </a:r>
          <a:r>
            <a:rPr lang="en-GB" sz="1800" b="0">
              <a:effectLst/>
              <a:latin typeface="Avenir Next LT Pro" panose="020B0504020202020204" pitchFamily="34" charset="0"/>
            </a:rPr>
            <a:t> </a:t>
          </a:r>
          <a:endParaRPr lang="en-GB" sz="1800" b="0">
            <a:latin typeface="Avenir Next LT Pro" panose="020B0504020202020204" pitchFamily="34" charset="0"/>
          </a:endParaRPr>
        </a:p>
        <a:p>
          <a:pPr algn="l"/>
          <a:endParaRPr lang="en-GB" sz="1100"/>
        </a:p>
      </xdr:txBody>
    </xdr:sp>
    <xdr:clientData/>
  </xdr:twoCellAnchor>
  <xdr:twoCellAnchor>
    <xdr:from>
      <xdr:col>23</xdr:col>
      <xdr:colOff>66675</xdr:colOff>
      <xdr:row>10</xdr:row>
      <xdr:rowOff>0</xdr:rowOff>
    </xdr:from>
    <xdr:to>
      <xdr:col>26</xdr:col>
      <xdr:colOff>257174</xdr:colOff>
      <xdr:row>14</xdr:row>
      <xdr:rowOff>57150</xdr:rowOff>
    </xdr:to>
    <xdr:sp macro="" textlink="">
      <xdr:nvSpPr>
        <xdr:cNvPr id="48" name="Rectangle 47">
          <a:extLst>
            <a:ext uri="{FF2B5EF4-FFF2-40B4-BE49-F238E27FC236}">
              <a16:creationId xmlns:a16="http://schemas.microsoft.com/office/drawing/2014/main" id="{7E24E7C6-3C3C-4319-9B72-A4AEDE441190}"/>
            </a:ext>
          </a:extLst>
        </xdr:cNvPr>
        <xdr:cNvSpPr/>
      </xdr:nvSpPr>
      <xdr:spPr>
        <a:xfrm>
          <a:off x="14087475" y="1905000"/>
          <a:ext cx="2019299" cy="819150"/>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u="sng">
              <a:latin typeface="Avenir Next LT Pro" panose="020B0504020202020204" pitchFamily="34" charset="0"/>
            </a:rPr>
            <a:t>2022</a:t>
          </a:r>
        </a:p>
        <a:p>
          <a:pPr algn="ctr"/>
          <a:r>
            <a:rPr lang="en-GB" sz="1800" b="0" i="0" u="none" strike="noStrike">
              <a:solidFill>
                <a:schemeClr val="lt1"/>
              </a:solidFill>
              <a:effectLst/>
              <a:latin typeface="Avenir Next LT Pro" panose="020B0504020202020204" pitchFamily="34" charset="0"/>
              <a:ea typeface="+mn-ea"/>
              <a:cs typeface="+mn-cs"/>
            </a:rPr>
            <a:t>272728.66</a:t>
          </a:r>
          <a:r>
            <a:rPr lang="en-GB" sz="1800">
              <a:effectLst/>
            </a:rPr>
            <a:t> </a:t>
          </a:r>
          <a:r>
            <a:rPr lang="en-GB" sz="1800" b="0">
              <a:effectLst/>
              <a:latin typeface="Avenir Next LT Pro" panose="020B0504020202020204" pitchFamily="34" charset="0"/>
            </a:rPr>
            <a:t> </a:t>
          </a:r>
          <a:endParaRPr lang="en-GB" sz="1800" b="0">
            <a:latin typeface="Avenir Next LT Pro" panose="020B0504020202020204" pitchFamily="34" charset="0"/>
          </a:endParaRPr>
        </a:p>
        <a:p>
          <a:pPr algn="l"/>
          <a:endParaRPr lang="en-GB" sz="1100"/>
        </a:p>
      </xdr:txBody>
    </xdr:sp>
    <xdr:clientData/>
  </xdr:twoCellAnchor>
  <xdr:twoCellAnchor>
    <xdr:from>
      <xdr:col>26</xdr:col>
      <xdr:colOff>476250</xdr:colOff>
      <xdr:row>10</xdr:row>
      <xdr:rowOff>0</xdr:rowOff>
    </xdr:from>
    <xdr:to>
      <xdr:col>30</xdr:col>
      <xdr:colOff>57149</xdr:colOff>
      <xdr:row>14</xdr:row>
      <xdr:rowOff>57150</xdr:rowOff>
    </xdr:to>
    <xdr:sp macro="" textlink="">
      <xdr:nvSpPr>
        <xdr:cNvPr id="49" name="Rectangle 48">
          <a:extLst>
            <a:ext uri="{FF2B5EF4-FFF2-40B4-BE49-F238E27FC236}">
              <a16:creationId xmlns:a16="http://schemas.microsoft.com/office/drawing/2014/main" id="{16B733F7-0A39-464E-8BDD-EE8066949379}"/>
            </a:ext>
          </a:extLst>
        </xdr:cNvPr>
        <xdr:cNvSpPr/>
      </xdr:nvSpPr>
      <xdr:spPr>
        <a:xfrm>
          <a:off x="16325850" y="1905000"/>
          <a:ext cx="2019299" cy="819150"/>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u="sng">
              <a:latin typeface="Avenir Next LT Pro" panose="020B0504020202020204" pitchFamily="34" charset="0"/>
            </a:rPr>
            <a:t>2023</a:t>
          </a:r>
        </a:p>
        <a:p>
          <a:pPr algn="ctr"/>
          <a:r>
            <a:rPr lang="en-GB" sz="1800" b="0" i="0" u="none" strike="noStrike">
              <a:solidFill>
                <a:schemeClr val="lt1"/>
              </a:solidFill>
              <a:effectLst/>
              <a:latin typeface="Avenir Next LT Pro" panose="020B0504020202020204" pitchFamily="34" charset="0"/>
              <a:ea typeface="+mn-ea"/>
              <a:cs typeface="+mn-cs"/>
            </a:rPr>
            <a:t>309690.23</a:t>
          </a:r>
          <a:r>
            <a:rPr lang="en-GB" sz="1800">
              <a:effectLst/>
            </a:rPr>
            <a:t> </a:t>
          </a:r>
          <a:r>
            <a:rPr lang="en-GB" sz="1800" b="0">
              <a:effectLst/>
              <a:latin typeface="Avenir Next LT Pro" panose="020B0504020202020204" pitchFamily="34" charset="0"/>
            </a:rPr>
            <a:t> </a:t>
          </a:r>
          <a:endParaRPr lang="en-GB" sz="1800" b="0">
            <a:latin typeface="Avenir Next LT Pro" panose="020B0504020202020204" pitchFamily="34" charset="0"/>
          </a:endParaRPr>
        </a:p>
        <a:p>
          <a:pPr algn="l"/>
          <a:endParaRPr lang="en-GB" sz="1100"/>
        </a:p>
      </xdr:txBody>
    </xdr:sp>
    <xdr:clientData/>
  </xdr:twoCellAnchor>
  <xdr:twoCellAnchor>
    <xdr:from>
      <xdr:col>30</xdr:col>
      <xdr:colOff>304800</xdr:colOff>
      <xdr:row>9</xdr:row>
      <xdr:rowOff>180975</xdr:rowOff>
    </xdr:from>
    <xdr:to>
      <xdr:col>33</xdr:col>
      <xdr:colOff>495299</xdr:colOff>
      <xdr:row>14</xdr:row>
      <xdr:rowOff>47625</xdr:rowOff>
    </xdr:to>
    <xdr:sp macro="" textlink="">
      <xdr:nvSpPr>
        <xdr:cNvPr id="50" name="Rectangle 49">
          <a:extLst>
            <a:ext uri="{FF2B5EF4-FFF2-40B4-BE49-F238E27FC236}">
              <a16:creationId xmlns:a16="http://schemas.microsoft.com/office/drawing/2014/main" id="{92273592-6C9C-44AE-A614-88D979B610E7}"/>
            </a:ext>
          </a:extLst>
        </xdr:cNvPr>
        <xdr:cNvSpPr/>
      </xdr:nvSpPr>
      <xdr:spPr>
        <a:xfrm>
          <a:off x="18592800" y="1895475"/>
          <a:ext cx="2019299" cy="819150"/>
        </a:xfrm>
        <a:prstGeom prst="rect">
          <a:avLst/>
        </a:prstGeom>
        <a:solidFill>
          <a:srgbClr val="17C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u="sng">
              <a:latin typeface="Avenir Next LT Pro" panose="020B0504020202020204" pitchFamily="34" charset="0"/>
            </a:rPr>
            <a:t>2024</a:t>
          </a:r>
        </a:p>
        <a:p>
          <a:pPr algn="ctr"/>
          <a:r>
            <a:rPr lang="en-GB" sz="1800" b="0" i="0" u="none" strike="noStrike">
              <a:solidFill>
                <a:schemeClr val="lt1"/>
              </a:solidFill>
              <a:effectLst/>
              <a:latin typeface="Avenir Next LT Pro" panose="020B0504020202020204" pitchFamily="34" charset="0"/>
              <a:ea typeface="+mn-ea"/>
              <a:cs typeface="+mn-cs"/>
            </a:rPr>
            <a:t>25690.07</a:t>
          </a:r>
          <a:r>
            <a:rPr lang="en-GB" sz="1800">
              <a:effectLst/>
            </a:rPr>
            <a:t> </a:t>
          </a: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85724</xdr:colOff>
      <xdr:row>2</xdr:row>
      <xdr:rowOff>159000</xdr:rowOff>
    </xdr:to>
    <xdr:sp macro="" textlink="">
      <xdr:nvSpPr>
        <xdr:cNvPr id="2" name="Rectangle 1">
          <a:extLst>
            <a:ext uri="{FF2B5EF4-FFF2-40B4-BE49-F238E27FC236}">
              <a16:creationId xmlns:a16="http://schemas.microsoft.com/office/drawing/2014/main" id="{82318FB2-9937-4C6B-9F79-92E77ACF931F}"/>
            </a:ext>
          </a:extLst>
        </xdr:cNvPr>
        <xdr:cNvSpPr/>
      </xdr:nvSpPr>
      <xdr:spPr>
        <a:xfrm>
          <a:off x="0" y="0"/>
          <a:ext cx="22031324" cy="540000"/>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xdr:colOff>
      <xdr:row>0</xdr:row>
      <xdr:rowOff>114300</xdr:rowOff>
    </xdr:from>
    <xdr:to>
      <xdr:col>24</xdr:col>
      <xdr:colOff>400801</xdr:colOff>
      <xdr:row>3</xdr:row>
      <xdr:rowOff>0</xdr:rowOff>
    </xdr:to>
    <xdr:sp macro="" textlink="">
      <xdr:nvSpPr>
        <xdr:cNvPr id="3" name="TextBox 2">
          <a:hlinkClick xmlns:r="http://schemas.openxmlformats.org/officeDocument/2006/relationships" r:id="rId1" tooltip="Income"/>
          <a:extLst>
            <a:ext uri="{FF2B5EF4-FFF2-40B4-BE49-F238E27FC236}">
              <a16:creationId xmlns:a16="http://schemas.microsoft.com/office/drawing/2014/main" id="{52B02FDD-0838-403F-858E-8C724C1BE3FA}"/>
            </a:ext>
          </a:extLst>
        </xdr:cNvPr>
        <xdr:cNvSpPr txBox="1"/>
      </xdr:nvSpPr>
      <xdr:spPr>
        <a:xfrm>
          <a:off x="13411201"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Income</a:t>
          </a:r>
        </a:p>
      </xdr:txBody>
    </xdr:sp>
    <xdr:clientData/>
  </xdr:twoCellAnchor>
  <xdr:twoCellAnchor>
    <xdr:from>
      <xdr:col>24</xdr:col>
      <xdr:colOff>466726</xdr:colOff>
      <xdr:row>0</xdr:row>
      <xdr:rowOff>114300</xdr:rowOff>
    </xdr:from>
    <xdr:to>
      <xdr:col>27</xdr:col>
      <xdr:colOff>257926</xdr:colOff>
      <xdr:row>3</xdr:row>
      <xdr:rowOff>0</xdr:rowOff>
    </xdr:to>
    <xdr:sp macro="" textlink="">
      <xdr:nvSpPr>
        <xdr:cNvPr id="5" name="TextBox 4">
          <a:hlinkClick xmlns:r="http://schemas.openxmlformats.org/officeDocument/2006/relationships" r:id="rId2" tooltip="Expenses"/>
          <a:extLst>
            <a:ext uri="{FF2B5EF4-FFF2-40B4-BE49-F238E27FC236}">
              <a16:creationId xmlns:a16="http://schemas.microsoft.com/office/drawing/2014/main" id="{759032B8-B0B3-4AB6-BBB1-2E910CC8C43C}"/>
            </a:ext>
          </a:extLst>
        </xdr:cNvPr>
        <xdr:cNvSpPr txBox="1"/>
      </xdr:nvSpPr>
      <xdr:spPr>
        <a:xfrm>
          <a:off x="15097126"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Expenses</a:t>
          </a:r>
        </a:p>
      </xdr:txBody>
    </xdr:sp>
    <xdr:clientData/>
  </xdr:twoCellAnchor>
  <xdr:twoCellAnchor>
    <xdr:from>
      <xdr:col>27</xdr:col>
      <xdr:colOff>323849</xdr:colOff>
      <xdr:row>0</xdr:row>
      <xdr:rowOff>114300</xdr:rowOff>
    </xdr:from>
    <xdr:to>
      <xdr:col>30</xdr:col>
      <xdr:colOff>115049</xdr:colOff>
      <xdr:row>3</xdr:row>
      <xdr:rowOff>0</xdr:rowOff>
    </xdr:to>
    <xdr:sp macro="" textlink="">
      <xdr:nvSpPr>
        <xdr:cNvPr id="6" name="TextBox 5">
          <a:hlinkClick xmlns:r="http://schemas.openxmlformats.org/officeDocument/2006/relationships" r:id="rId3" tooltip="Summary"/>
          <a:extLst>
            <a:ext uri="{FF2B5EF4-FFF2-40B4-BE49-F238E27FC236}">
              <a16:creationId xmlns:a16="http://schemas.microsoft.com/office/drawing/2014/main" id="{AD734D14-0CA4-46DE-B97A-95A5FA5B297D}"/>
            </a:ext>
          </a:extLst>
        </xdr:cNvPr>
        <xdr:cNvSpPr txBox="1"/>
      </xdr:nvSpPr>
      <xdr:spPr>
        <a:xfrm>
          <a:off x="16783049" y="114300"/>
          <a:ext cx="1620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venir Next LT Pro" panose="020F0502020204030204" pitchFamily="34" charset="0"/>
              <a:cs typeface="Arial" panose="020B0604020202020204" pitchFamily="34" charset="0"/>
            </a:rPr>
            <a:t>Summary</a:t>
          </a:r>
        </a:p>
      </xdr:txBody>
    </xdr:sp>
    <xdr:clientData/>
  </xdr:twoCellAnchor>
  <xdr:twoCellAnchor>
    <xdr:from>
      <xdr:col>27</xdr:col>
      <xdr:colOff>447675</xdr:colOff>
      <xdr:row>2</xdr:row>
      <xdr:rowOff>57150</xdr:rowOff>
    </xdr:from>
    <xdr:to>
      <xdr:col>28</xdr:col>
      <xdr:colOff>400050</xdr:colOff>
      <xdr:row>2</xdr:row>
      <xdr:rowOff>123825</xdr:rowOff>
    </xdr:to>
    <xdr:sp macro="" textlink="">
      <xdr:nvSpPr>
        <xdr:cNvPr id="8" name="Rectangle: Rounded Corners 7">
          <a:extLst>
            <a:ext uri="{FF2B5EF4-FFF2-40B4-BE49-F238E27FC236}">
              <a16:creationId xmlns:a16="http://schemas.microsoft.com/office/drawing/2014/main" id="{51304841-2C50-4705-8C02-5AF92DC80A03}"/>
            </a:ext>
          </a:extLst>
        </xdr:cNvPr>
        <xdr:cNvSpPr/>
      </xdr:nvSpPr>
      <xdr:spPr>
        <a:xfrm>
          <a:off x="16906875" y="438150"/>
          <a:ext cx="561975" cy="66675"/>
        </a:xfrm>
        <a:prstGeom prst="roundRect">
          <a:avLst/>
        </a:prstGeom>
        <a:solidFill>
          <a:srgbClr val="0E2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7</xdr:col>
      <xdr:colOff>268431</xdr:colOff>
      <xdr:row>2</xdr:row>
      <xdr:rowOff>114299</xdr:rowOff>
    </xdr:to>
    <xdr:sp macro="" textlink="">
      <xdr:nvSpPr>
        <xdr:cNvPr id="12" name="TextBox 11">
          <a:extLst>
            <a:ext uri="{FF2B5EF4-FFF2-40B4-BE49-F238E27FC236}">
              <a16:creationId xmlns:a16="http://schemas.microsoft.com/office/drawing/2014/main" id="{EB27F33A-751A-42D5-A9B9-1721A151E6F1}"/>
            </a:ext>
          </a:extLst>
        </xdr:cNvPr>
        <xdr:cNvSpPr txBox="1"/>
      </xdr:nvSpPr>
      <xdr:spPr>
        <a:xfrm>
          <a:off x="0" y="0"/>
          <a:ext cx="4511386"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bg1"/>
              </a:solidFill>
              <a:latin typeface="Avenir Next LT Pro" panose="020F0502020204030204" pitchFamily="34" charset="0"/>
              <a:cs typeface="Arial" panose="020B0604020202020204" pitchFamily="34" charset="0"/>
            </a:rPr>
            <a:t>Home</a:t>
          </a:r>
          <a:r>
            <a:rPr lang="en-GB" sz="2400" b="1" baseline="0">
              <a:solidFill>
                <a:schemeClr val="bg1"/>
              </a:solidFill>
              <a:latin typeface="Avenir Next LT Pro" panose="020F0502020204030204" pitchFamily="34" charset="0"/>
              <a:cs typeface="Arial" panose="020B0604020202020204" pitchFamily="34" charset="0"/>
            </a:rPr>
            <a:t> Finance Dashboard </a:t>
          </a:r>
          <a:endParaRPr lang="en-GB" sz="2400" b="1">
            <a:solidFill>
              <a:schemeClr val="bg1"/>
            </a:solidFill>
            <a:latin typeface="Avenir Next LT Pro" panose="020F0502020204030204" pitchFamily="34" charset="0"/>
            <a:cs typeface="Arial" panose="020B0604020202020204" pitchFamily="34" charset="0"/>
          </a:endParaRPr>
        </a:p>
      </xdr:txBody>
    </xdr:sp>
    <xdr:clientData/>
  </xdr:twoCellAnchor>
  <xdr:twoCellAnchor>
    <xdr:from>
      <xdr:col>0</xdr:col>
      <xdr:colOff>355024</xdr:colOff>
      <xdr:row>9</xdr:row>
      <xdr:rowOff>164522</xdr:rowOff>
    </xdr:from>
    <xdr:to>
      <xdr:col>6</xdr:col>
      <xdr:colOff>51956</xdr:colOff>
      <xdr:row>16</xdr:row>
      <xdr:rowOff>112567</xdr:rowOff>
    </xdr:to>
    <xdr:sp macro="" textlink="">
      <xdr:nvSpPr>
        <xdr:cNvPr id="4" name="Rectangle: Rounded Corners 3">
          <a:extLst>
            <a:ext uri="{FF2B5EF4-FFF2-40B4-BE49-F238E27FC236}">
              <a16:creationId xmlns:a16="http://schemas.microsoft.com/office/drawing/2014/main" id="{8DDAB013-42A0-A6A9-C63C-1DB9DC897711}"/>
            </a:ext>
          </a:extLst>
        </xdr:cNvPr>
        <xdr:cNvSpPr/>
      </xdr:nvSpPr>
      <xdr:spPr>
        <a:xfrm>
          <a:off x="355024" y="1879022"/>
          <a:ext cx="3333750" cy="1281545"/>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path path="circle">
            <a:fillToRect l="100000" b="100000"/>
          </a:path>
          <a:tileRect t="-100000" r="-100000"/>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GB" sz="1400"/>
            <a:t>Networth </a:t>
          </a:r>
        </a:p>
        <a:p>
          <a:pPr algn="l"/>
          <a:r>
            <a:rPr lang="en-GB" sz="3600" b="1"/>
            <a:t>   $</a:t>
          </a:r>
          <a:r>
            <a:rPr lang="en-GB" sz="4400" b="1"/>
            <a:t>743,000</a:t>
          </a:r>
          <a:endParaRPr lang="en-GB" sz="3600" b="1"/>
        </a:p>
      </xdr:txBody>
    </xdr:sp>
    <xdr:clientData/>
  </xdr:twoCellAnchor>
  <xdr:twoCellAnchor>
    <xdr:from>
      <xdr:col>6</xdr:col>
      <xdr:colOff>190501</xdr:colOff>
      <xdr:row>3</xdr:row>
      <xdr:rowOff>121229</xdr:rowOff>
    </xdr:from>
    <xdr:to>
      <xdr:col>12</xdr:col>
      <xdr:colOff>8659</xdr:colOff>
      <xdr:row>19</xdr:row>
      <xdr:rowOff>69273</xdr:rowOff>
    </xdr:to>
    <xdr:sp macro="" textlink="">
      <xdr:nvSpPr>
        <xdr:cNvPr id="11" name="Rectangle: Rounded Corners 10">
          <a:extLst>
            <a:ext uri="{FF2B5EF4-FFF2-40B4-BE49-F238E27FC236}">
              <a16:creationId xmlns:a16="http://schemas.microsoft.com/office/drawing/2014/main" id="{B4804DD2-29FB-E47F-4559-F12FB1CD6C9F}"/>
            </a:ext>
          </a:extLst>
        </xdr:cNvPr>
        <xdr:cNvSpPr/>
      </xdr:nvSpPr>
      <xdr:spPr>
        <a:xfrm>
          <a:off x="3827319" y="692729"/>
          <a:ext cx="3454976" cy="2996044"/>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190500</xdr:colOff>
      <xdr:row>20</xdr:row>
      <xdr:rowOff>25977</xdr:rowOff>
    </xdr:from>
    <xdr:to>
      <xdr:col>12</xdr:col>
      <xdr:colOff>25978</xdr:colOff>
      <xdr:row>35</xdr:row>
      <xdr:rowOff>43297</xdr:rowOff>
    </xdr:to>
    <xdr:sp macro="" textlink="">
      <xdr:nvSpPr>
        <xdr:cNvPr id="14" name="Rectangle: Rounded Corners 13">
          <a:extLst>
            <a:ext uri="{FF2B5EF4-FFF2-40B4-BE49-F238E27FC236}">
              <a16:creationId xmlns:a16="http://schemas.microsoft.com/office/drawing/2014/main" id="{4C9423A9-5EDB-4E68-83C2-A484C1066D36}"/>
            </a:ext>
          </a:extLst>
        </xdr:cNvPr>
        <xdr:cNvSpPr/>
      </xdr:nvSpPr>
      <xdr:spPr>
        <a:xfrm>
          <a:off x="3827318" y="3835977"/>
          <a:ext cx="3472296" cy="2874820"/>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282287</xdr:colOff>
      <xdr:row>17</xdr:row>
      <xdr:rowOff>86591</xdr:rowOff>
    </xdr:from>
    <xdr:to>
      <xdr:col>6</xdr:col>
      <xdr:colOff>43296</xdr:colOff>
      <xdr:row>35</xdr:row>
      <xdr:rowOff>60614</xdr:rowOff>
    </xdr:to>
    <xdr:sp macro="" textlink="">
      <xdr:nvSpPr>
        <xdr:cNvPr id="15" name="Rectangle: Rounded Corners 14">
          <a:extLst>
            <a:ext uri="{FF2B5EF4-FFF2-40B4-BE49-F238E27FC236}">
              <a16:creationId xmlns:a16="http://schemas.microsoft.com/office/drawing/2014/main" id="{557EBD89-C9A9-4B58-B293-94074B18F1FD}"/>
            </a:ext>
          </a:extLst>
        </xdr:cNvPr>
        <xdr:cNvSpPr/>
      </xdr:nvSpPr>
      <xdr:spPr>
        <a:xfrm>
          <a:off x="282287" y="3325091"/>
          <a:ext cx="3397827" cy="3403023"/>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296143</xdr:colOff>
      <xdr:row>36</xdr:row>
      <xdr:rowOff>13854</xdr:rowOff>
    </xdr:from>
    <xdr:to>
      <xdr:col>12</xdr:col>
      <xdr:colOff>25978</xdr:colOff>
      <xdr:row>51</xdr:row>
      <xdr:rowOff>74469</xdr:rowOff>
    </xdr:to>
    <xdr:sp macro="" textlink="">
      <xdr:nvSpPr>
        <xdr:cNvPr id="16" name="Rectangle: Rounded Corners 15">
          <a:extLst>
            <a:ext uri="{FF2B5EF4-FFF2-40B4-BE49-F238E27FC236}">
              <a16:creationId xmlns:a16="http://schemas.microsoft.com/office/drawing/2014/main" id="{C69776E9-7996-4294-A076-010216563140}"/>
            </a:ext>
          </a:extLst>
        </xdr:cNvPr>
        <xdr:cNvSpPr/>
      </xdr:nvSpPr>
      <xdr:spPr>
        <a:xfrm>
          <a:off x="296143" y="6871854"/>
          <a:ext cx="7003471" cy="2918115"/>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a:effectLst/>
            </a:rPr>
            <a:t> </a:t>
          </a:r>
        </a:p>
        <a:p>
          <a:pPr algn="l"/>
          <a:endParaRPr lang="en-GB" sz="1100"/>
        </a:p>
      </xdr:txBody>
    </xdr:sp>
    <xdr:clientData/>
  </xdr:twoCellAnchor>
  <xdr:twoCellAnchor>
    <xdr:from>
      <xdr:col>12</xdr:col>
      <xdr:colOff>221674</xdr:colOff>
      <xdr:row>27</xdr:row>
      <xdr:rowOff>69273</xdr:rowOff>
    </xdr:from>
    <xdr:to>
      <xdr:col>19</xdr:col>
      <xdr:colOff>311728</xdr:colOff>
      <xdr:row>51</xdr:row>
      <xdr:rowOff>48493</xdr:rowOff>
    </xdr:to>
    <xdr:sp macro="" textlink="">
      <xdr:nvSpPr>
        <xdr:cNvPr id="17" name="Rectangle: Rounded Corners 16">
          <a:extLst>
            <a:ext uri="{FF2B5EF4-FFF2-40B4-BE49-F238E27FC236}">
              <a16:creationId xmlns:a16="http://schemas.microsoft.com/office/drawing/2014/main" id="{3402BB3F-833A-4451-B7AB-8084A8CB7EA1}"/>
            </a:ext>
          </a:extLst>
        </xdr:cNvPr>
        <xdr:cNvSpPr/>
      </xdr:nvSpPr>
      <xdr:spPr>
        <a:xfrm>
          <a:off x="7495310" y="5212773"/>
          <a:ext cx="4333009" cy="4551220"/>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b="1"/>
            <a:t>Assets</a:t>
          </a:r>
          <a:endParaRPr lang="en-GB" sz="1200" b="1"/>
        </a:p>
        <a:p>
          <a:pPr algn="l"/>
          <a:r>
            <a:rPr lang="en-GB" sz="1200"/>
            <a:t>2023 market</a:t>
          </a:r>
          <a:r>
            <a:rPr lang="en-GB" sz="1200" baseline="0"/>
            <a:t> value</a:t>
          </a:r>
          <a:endParaRPr lang="en-GB" sz="1200"/>
        </a:p>
        <a:p>
          <a:pPr algn="l"/>
          <a:endParaRPr lang="en-GB" sz="1200"/>
        </a:p>
        <a:p>
          <a:pPr algn="l"/>
          <a:r>
            <a:rPr lang="en-GB" sz="2400"/>
            <a:t>House</a:t>
          </a:r>
          <a:r>
            <a:rPr lang="en-GB" sz="2400" baseline="0"/>
            <a:t> </a:t>
          </a:r>
          <a:r>
            <a:rPr lang="en-GB" sz="2400"/>
            <a:t>- $948,000</a:t>
          </a:r>
        </a:p>
        <a:p>
          <a:pPr algn="l"/>
          <a:endParaRPr lang="en-GB" sz="2400"/>
        </a:p>
        <a:p>
          <a:pPr algn="l"/>
          <a:r>
            <a:rPr lang="en-GB" sz="2400"/>
            <a:t>Car</a:t>
          </a:r>
          <a:r>
            <a:rPr lang="en-GB" sz="2400" baseline="0"/>
            <a:t> </a:t>
          </a:r>
          <a:r>
            <a:rPr lang="en-GB" sz="2400"/>
            <a:t>- $30,000</a:t>
          </a:r>
        </a:p>
        <a:p>
          <a:pPr algn="l"/>
          <a:endParaRPr lang="en-GB" sz="2400"/>
        </a:p>
        <a:p>
          <a:pPr algn="l"/>
          <a:r>
            <a:rPr lang="en-GB" sz="2400"/>
            <a:t>Jewlery</a:t>
          </a:r>
          <a:r>
            <a:rPr lang="en-GB" sz="1200" b="0" i="0" u="none" strike="noStrike" baseline="0">
              <a:solidFill>
                <a:schemeClr val="lt1"/>
              </a:solidFill>
              <a:effectLst/>
              <a:latin typeface="+mn-lt"/>
              <a:ea typeface="+mn-ea"/>
              <a:cs typeface="+mn-cs"/>
            </a:rPr>
            <a:t> </a:t>
          </a:r>
          <a:r>
            <a:rPr lang="en-GB" sz="2400"/>
            <a:t>- $9,000</a:t>
          </a:r>
        </a:p>
        <a:p>
          <a:pPr algn="l"/>
          <a:endParaRPr lang="en-GB" sz="2400"/>
        </a:p>
        <a:p>
          <a:pPr algn="l"/>
          <a:r>
            <a:rPr lang="en-GB" sz="2400"/>
            <a:t>Savings - $45,000</a:t>
          </a:r>
          <a:endParaRPr lang="en-GB" sz="1200"/>
        </a:p>
        <a:p>
          <a:pPr algn="l"/>
          <a:endParaRPr lang="en-GB" sz="1100"/>
        </a:p>
        <a:p>
          <a:pPr algn="l"/>
          <a:endParaRPr lang="en-GB" sz="1100"/>
        </a:p>
        <a:p>
          <a:pPr algn="l"/>
          <a:endParaRPr lang="en-GB" sz="1100"/>
        </a:p>
        <a:p>
          <a:pPr algn="l"/>
          <a:endParaRPr lang="en-GB" sz="1100"/>
        </a:p>
      </xdr:txBody>
    </xdr:sp>
    <xdr:clientData/>
  </xdr:twoCellAnchor>
  <xdr:twoCellAnchor>
    <xdr:from>
      <xdr:col>12</xdr:col>
      <xdr:colOff>131619</xdr:colOff>
      <xdr:row>3</xdr:row>
      <xdr:rowOff>109105</xdr:rowOff>
    </xdr:from>
    <xdr:to>
      <xdr:col>34</xdr:col>
      <xdr:colOff>233796</xdr:colOff>
      <xdr:row>26</xdr:row>
      <xdr:rowOff>51955</xdr:rowOff>
    </xdr:to>
    <xdr:sp macro="" textlink="">
      <xdr:nvSpPr>
        <xdr:cNvPr id="18" name="Rectangle: Rounded Corners 17">
          <a:extLst>
            <a:ext uri="{FF2B5EF4-FFF2-40B4-BE49-F238E27FC236}">
              <a16:creationId xmlns:a16="http://schemas.microsoft.com/office/drawing/2014/main" id="{12E35842-3F3E-44AA-9289-41EDE0498165}"/>
            </a:ext>
          </a:extLst>
        </xdr:cNvPr>
        <xdr:cNvSpPr/>
      </xdr:nvSpPr>
      <xdr:spPr>
        <a:xfrm>
          <a:off x="7405255" y="680605"/>
          <a:ext cx="13437177" cy="4324350"/>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endParaRPr lang="en-GB" sz="1100"/>
        </a:p>
        <a:p>
          <a:pPr algn="l"/>
          <a:endParaRPr lang="en-GB" sz="1100"/>
        </a:p>
        <a:p>
          <a:pPr algn="l"/>
          <a:endParaRPr lang="en-GB" sz="1100"/>
        </a:p>
      </xdr:txBody>
    </xdr:sp>
    <xdr:clientData/>
  </xdr:twoCellAnchor>
  <xdr:twoCellAnchor>
    <xdr:from>
      <xdr:col>27</xdr:col>
      <xdr:colOff>240722</xdr:colOff>
      <xdr:row>27</xdr:row>
      <xdr:rowOff>45027</xdr:rowOff>
    </xdr:from>
    <xdr:to>
      <xdr:col>34</xdr:col>
      <xdr:colOff>330777</xdr:colOff>
      <xdr:row>51</xdr:row>
      <xdr:rowOff>24247</xdr:rowOff>
    </xdr:to>
    <xdr:sp macro="" textlink="">
      <xdr:nvSpPr>
        <xdr:cNvPr id="20" name="Rectangle: Rounded Corners 19">
          <a:extLst>
            <a:ext uri="{FF2B5EF4-FFF2-40B4-BE49-F238E27FC236}">
              <a16:creationId xmlns:a16="http://schemas.microsoft.com/office/drawing/2014/main" id="{BE8C8271-E52E-4370-90B1-1789B0E53C4D}"/>
            </a:ext>
          </a:extLst>
        </xdr:cNvPr>
        <xdr:cNvSpPr/>
      </xdr:nvSpPr>
      <xdr:spPr>
        <a:xfrm>
          <a:off x="16606404" y="5188527"/>
          <a:ext cx="4333009" cy="4551220"/>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389657</xdr:colOff>
      <xdr:row>4</xdr:row>
      <xdr:rowOff>34636</xdr:rowOff>
    </xdr:from>
    <xdr:to>
      <xdr:col>6</xdr:col>
      <xdr:colOff>147204</xdr:colOff>
      <xdr:row>9</xdr:row>
      <xdr:rowOff>8659</xdr:rowOff>
    </xdr:to>
    <xdr:sp macro="" textlink="">
      <xdr:nvSpPr>
        <xdr:cNvPr id="23" name="TextBox 22">
          <a:extLst>
            <a:ext uri="{FF2B5EF4-FFF2-40B4-BE49-F238E27FC236}">
              <a16:creationId xmlns:a16="http://schemas.microsoft.com/office/drawing/2014/main" id="{13773EC6-3DEE-CDA7-819D-F4629C17D55D}"/>
            </a:ext>
          </a:extLst>
        </xdr:cNvPr>
        <xdr:cNvSpPr txBox="1"/>
      </xdr:nvSpPr>
      <xdr:spPr>
        <a:xfrm>
          <a:off x="389657" y="796636"/>
          <a:ext cx="3394365" cy="92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b="1">
              <a:solidFill>
                <a:schemeClr val="bg1"/>
              </a:solidFill>
              <a:latin typeface="Bahnschrift SemiLight Condensed" panose="020B0502040204020203" pitchFamily="34" charset="0"/>
            </a:rPr>
            <a:t>2023 - report</a:t>
          </a:r>
        </a:p>
      </xdr:txBody>
    </xdr:sp>
    <xdr:clientData/>
  </xdr:twoCellAnchor>
  <xdr:twoCellAnchor>
    <xdr:from>
      <xdr:col>6</xdr:col>
      <xdr:colOff>218213</xdr:colOff>
      <xdr:row>4</xdr:row>
      <xdr:rowOff>17317</xdr:rowOff>
    </xdr:from>
    <xdr:to>
      <xdr:col>11</xdr:col>
      <xdr:colOff>545523</xdr:colOff>
      <xdr:row>16</xdr:row>
      <xdr:rowOff>81392</xdr:rowOff>
    </xdr:to>
    <xdr:graphicFrame macro="">
      <xdr:nvGraphicFramePr>
        <xdr:cNvPr id="9" name="Chart 8">
          <a:extLst>
            <a:ext uri="{FF2B5EF4-FFF2-40B4-BE49-F238E27FC236}">
              <a16:creationId xmlns:a16="http://schemas.microsoft.com/office/drawing/2014/main" id="{01B2C92A-0762-47E2-A1DF-542509528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394857</xdr:colOff>
      <xdr:row>37</xdr:row>
      <xdr:rowOff>58881</xdr:rowOff>
    </xdr:from>
    <xdr:to>
      <xdr:col>4</xdr:col>
      <xdr:colOff>147206</xdr:colOff>
      <xdr:row>50</xdr:row>
      <xdr:rowOff>17318</xdr:rowOff>
    </xdr:to>
    <xdr:sp macro="" textlink="">
      <xdr:nvSpPr>
        <xdr:cNvPr id="10" name="Rectangle: Rounded Corners 9">
          <a:extLst>
            <a:ext uri="{FF2B5EF4-FFF2-40B4-BE49-F238E27FC236}">
              <a16:creationId xmlns:a16="http://schemas.microsoft.com/office/drawing/2014/main" id="{F3246DDA-CD3A-4004-A0E7-D6F2EA531E89}"/>
            </a:ext>
          </a:extLst>
        </xdr:cNvPr>
        <xdr:cNvSpPr/>
      </xdr:nvSpPr>
      <xdr:spPr>
        <a:xfrm>
          <a:off x="394857" y="7107381"/>
          <a:ext cx="2176894" cy="2434937"/>
        </a:xfrm>
        <a:prstGeom prst="roundRect">
          <a:avLst/>
        </a:prstGeom>
        <a:solidFill>
          <a:srgbClr val="0500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600" u="none">
              <a:solidFill>
                <a:schemeClr val="lt1"/>
              </a:solidFill>
              <a:effectLst/>
              <a:latin typeface="+mn-lt"/>
              <a:ea typeface="+mn-ea"/>
              <a:cs typeface="+mn-cs"/>
            </a:rPr>
            <a:t>Income</a:t>
          </a:r>
          <a:r>
            <a:rPr lang="en-GB" sz="1600" u="none" baseline="0">
              <a:solidFill>
                <a:schemeClr val="lt1"/>
              </a:solidFill>
              <a:effectLst/>
              <a:latin typeface="+mn-lt"/>
              <a:ea typeface="+mn-ea"/>
              <a:cs typeface="+mn-cs"/>
            </a:rPr>
            <a:t> vs Expenses</a:t>
          </a:r>
          <a:endParaRPr lang="en-GB" sz="1600" u="none">
            <a:effectLst/>
          </a:endParaRPr>
        </a:p>
        <a:p>
          <a:endParaRPr lang="en-GB" sz="1100" b="0" i="0">
            <a:solidFill>
              <a:schemeClr val="lt1"/>
            </a:solidFill>
            <a:effectLst/>
            <a:latin typeface="+mn-lt"/>
            <a:ea typeface="+mn-ea"/>
            <a:cs typeface="+mn-cs"/>
          </a:endParaRPr>
        </a:p>
        <a:p>
          <a:endParaRPr lang="en-GB" sz="1100" b="0" i="0">
            <a:solidFill>
              <a:schemeClr val="lt1"/>
            </a:solidFill>
            <a:effectLst/>
            <a:latin typeface="+mn-lt"/>
            <a:ea typeface="+mn-ea"/>
            <a:cs typeface="+mn-cs"/>
          </a:endParaRPr>
        </a:p>
        <a:p>
          <a:r>
            <a:rPr lang="en-GB" sz="1100">
              <a:solidFill>
                <a:schemeClr val="lt1"/>
              </a:solidFill>
              <a:effectLst/>
              <a:latin typeface="+mn-lt"/>
              <a:ea typeface="+mn-ea"/>
              <a:cs typeface="+mn-cs"/>
            </a:rPr>
            <a:t>income</a:t>
          </a:r>
          <a:r>
            <a:rPr lang="en-GB" sz="1100" baseline="0">
              <a:solidFill>
                <a:schemeClr val="lt1"/>
              </a:solidFill>
              <a:effectLst/>
              <a:latin typeface="+mn-lt"/>
              <a:ea typeface="+mn-ea"/>
              <a:cs typeface="+mn-cs"/>
            </a:rPr>
            <a:t> </a:t>
          </a:r>
          <a:r>
            <a:rPr lang="en-GB" sz="1100">
              <a:solidFill>
                <a:schemeClr val="lt1"/>
              </a:solidFill>
              <a:effectLst/>
              <a:latin typeface="+mn-lt"/>
              <a:ea typeface="+mn-ea"/>
              <a:cs typeface="+mn-cs"/>
            </a:rPr>
            <a:t>-</a:t>
          </a:r>
          <a:r>
            <a:rPr lang="en-GB" sz="1100" baseline="0">
              <a:solidFill>
                <a:schemeClr val="lt1"/>
              </a:solidFill>
              <a:effectLst/>
              <a:latin typeface="+mn-lt"/>
              <a:ea typeface="+mn-ea"/>
              <a:cs typeface="+mn-cs"/>
            </a:rPr>
            <a:t> </a:t>
          </a:r>
          <a:r>
            <a:rPr lang="en-GB" sz="1100">
              <a:solidFill>
                <a:schemeClr val="lt1"/>
              </a:solidFill>
              <a:effectLst/>
              <a:latin typeface="+mn-lt"/>
              <a:ea typeface="+mn-ea"/>
              <a:cs typeface="+mn-cs"/>
            </a:rPr>
            <a:t>$</a:t>
          </a:r>
          <a:r>
            <a:rPr lang="en-GB" sz="1100" b="0" i="0">
              <a:solidFill>
                <a:schemeClr val="lt1"/>
              </a:solidFill>
              <a:effectLst/>
              <a:latin typeface="+mn-lt"/>
              <a:ea typeface="+mn-ea"/>
              <a:cs typeface="+mn-cs"/>
            </a:rPr>
            <a:t>188,812</a:t>
          </a:r>
          <a:r>
            <a:rPr lang="en-GB" sz="1100">
              <a:solidFill>
                <a:schemeClr val="lt1"/>
              </a:solidFill>
              <a:effectLst/>
              <a:latin typeface="+mn-lt"/>
              <a:ea typeface="+mn-ea"/>
              <a:cs typeface="+mn-cs"/>
            </a:rPr>
            <a:t> </a:t>
          </a:r>
        </a:p>
        <a:p>
          <a:endParaRPr lang="en-GB" sz="1100">
            <a:solidFill>
              <a:schemeClr val="lt1"/>
            </a:solidFill>
            <a:effectLst/>
            <a:latin typeface="+mn-lt"/>
            <a:ea typeface="+mn-ea"/>
            <a:cs typeface="+mn-cs"/>
          </a:endParaRPr>
        </a:p>
        <a:p>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expenses - $</a:t>
          </a:r>
          <a:r>
            <a:rPr lang="en-GB" sz="1100" b="0" i="0">
              <a:solidFill>
                <a:schemeClr val="lt1"/>
              </a:solidFill>
              <a:effectLst/>
              <a:latin typeface="+mn-lt"/>
              <a:ea typeface="+mn-ea"/>
              <a:cs typeface="+mn-cs"/>
            </a:rPr>
            <a:t>309,690.23</a:t>
          </a:r>
          <a:r>
            <a:rPr lang="en-GB" sz="1100">
              <a:solidFill>
                <a:schemeClr val="lt1"/>
              </a:solidFill>
              <a:effectLst/>
              <a:latin typeface="+mn-lt"/>
              <a:ea typeface="+mn-ea"/>
              <a:cs typeface="+mn-cs"/>
            </a:rPr>
            <a:t> </a:t>
          </a:r>
        </a:p>
        <a:p>
          <a:endParaRPr lang="en-GB" sz="1100" b="0" i="0">
            <a:solidFill>
              <a:schemeClr val="lt1"/>
            </a:solidFill>
            <a:effectLst/>
            <a:latin typeface="+mn-lt"/>
            <a:ea typeface="+mn-ea"/>
            <a:cs typeface="+mn-cs"/>
          </a:endParaRPr>
        </a:p>
        <a:p>
          <a:endParaRPr lang="en-GB" sz="1100" b="0" i="0">
            <a:solidFill>
              <a:schemeClr val="lt1"/>
            </a:solidFill>
            <a:effectLst/>
            <a:latin typeface="+mn-lt"/>
            <a:ea typeface="+mn-ea"/>
            <a:cs typeface="+mn-cs"/>
          </a:endParaRPr>
        </a:p>
        <a:p>
          <a:r>
            <a:rPr lang="en-GB" sz="1100" b="0" i="0">
              <a:solidFill>
                <a:schemeClr val="lt1"/>
              </a:solidFill>
              <a:effectLst/>
              <a:latin typeface="+mn-lt"/>
              <a:ea typeface="+mn-ea"/>
              <a:cs typeface="+mn-cs"/>
            </a:rPr>
            <a:t>cash flow</a:t>
          </a:r>
          <a:r>
            <a:rPr lang="en-GB" sz="1100" b="0" i="0" baseline="0">
              <a:solidFill>
                <a:schemeClr val="lt1"/>
              </a:solidFill>
              <a:effectLst/>
              <a:latin typeface="+mn-lt"/>
              <a:ea typeface="+mn-ea"/>
              <a:cs typeface="+mn-cs"/>
            </a:rPr>
            <a:t> </a:t>
          </a:r>
          <a:r>
            <a:rPr lang="en-GB" sz="1100" b="0" i="0">
              <a:solidFill>
                <a:schemeClr val="lt1"/>
              </a:solidFill>
              <a:effectLst/>
              <a:latin typeface="+mn-lt"/>
              <a:ea typeface="+mn-ea"/>
              <a:cs typeface="+mn-cs"/>
            </a:rPr>
            <a:t>- $120,878.23</a:t>
          </a:r>
          <a:r>
            <a:rPr lang="en-GB" sz="1100">
              <a:solidFill>
                <a:schemeClr val="lt1"/>
              </a:solidFill>
              <a:effectLst/>
              <a:latin typeface="+mn-lt"/>
              <a:ea typeface="+mn-ea"/>
              <a:cs typeface="+mn-cs"/>
            </a:rPr>
            <a:t> </a:t>
          </a:r>
          <a:endParaRPr lang="en-GB">
            <a:effectLst/>
          </a:endParaRPr>
        </a:p>
        <a:p>
          <a:pPr algn="l"/>
          <a:endParaRPr lang="en-GB" sz="1100"/>
        </a:p>
        <a:p>
          <a:pPr algn="l"/>
          <a:endParaRPr lang="en-GB" sz="1100"/>
        </a:p>
      </xdr:txBody>
    </xdr:sp>
    <xdr:clientData/>
  </xdr:twoCellAnchor>
  <xdr:twoCellAnchor>
    <xdr:from>
      <xdr:col>4</xdr:col>
      <xdr:colOff>183575</xdr:colOff>
      <xdr:row>36</xdr:row>
      <xdr:rowOff>187036</xdr:rowOff>
    </xdr:from>
    <xdr:to>
      <xdr:col>11</xdr:col>
      <xdr:colOff>512620</xdr:colOff>
      <xdr:row>51</xdr:row>
      <xdr:rowOff>72736</xdr:rowOff>
    </xdr:to>
    <xdr:graphicFrame macro="">
      <xdr:nvGraphicFramePr>
        <xdr:cNvPr id="13" name="Chart 12">
          <a:extLst>
            <a:ext uri="{FF2B5EF4-FFF2-40B4-BE49-F238E27FC236}">
              <a16:creationId xmlns:a16="http://schemas.microsoft.com/office/drawing/2014/main" id="{D5422E2D-F2D8-4E5B-B371-A531D8C89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363681</xdr:colOff>
      <xdr:row>20</xdr:row>
      <xdr:rowOff>103908</xdr:rowOff>
    </xdr:from>
    <xdr:to>
      <xdr:col>11</xdr:col>
      <xdr:colOff>329045</xdr:colOff>
      <xdr:row>31</xdr:row>
      <xdr:rowOff>138545</xdr:rowOff>
    </xdr:to>
    <xdr:graphicFrame macro="">
      <xdr:nvGraphicFramePr>
        <xdr:cNvPr id="21" name="Monthly Expenses Chart">
          <a:extLst>
            <a:ext uri="{FF2B5EF4-FFF2-40B4-BE49-F238E27FC236}">
              <a16:creationId xmlns:a16="http://schemas.microsoft.com/office/drawing/2014/main" id="{530CB971-F83F-4CD4-A3DF-29B45965D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34635</xdr:colOff>
      <xdr:row>32</xdr:row>
      <xdr:rowOff>69272</xdr:rowOff>
    </xdr:from>
    <xdr:to>
      <xdr:col>11</xdr:col>
      <xdr:colOff>190499</xdr:colOff>
      <xdr:row>34</xdr:row>
      <xdr:rowOff>77931</xdr:rowOff>
    </xdr:to>
    <xdr:sp macro="" textlink="">
      <xdr:nvSpPr>
        <xdr:cNvPr id="24" name="TextBox 23">
          <a:extLst>
            <a:ext uri="{FF2B5EF4-FFF2-40B4-BE49-F238E27FC236}">
              <a16:creationId xmlns:a16="http://schemas.microsoft.com/office/drawing/2014/main" id="{8A72E841-C3F4-13D4-32CB-6FB9FA544FC3}"/>
            </a:ext>
          </a:extLst>
        </xdr:cNvPr>
        <xdr:cNvSpPr txBox="1"/>
      </xdr:nvSpPr>
      <xdr:spPr>
        <a:xfrm>
          <a:off x="4277590" y="6165272"/>
          <a:ext cx="2580409"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1"/>
              </a:solidFill>
            </a:rPr>
            <a:t>Year Expense - $</a:t>
          </a:r>
          <a:r>
            <a:rPr lang="en-GB" sz="1600" b="0" i="0" u="none" strike="noStrike">
              <a:solidFill>
                <a:schemeClr val="bg1"/>
              </a:solidFill>
              <a:effectLst/>
              <a:latin typeface="+mn-lt"/>
              <a:ea typeface="+mn-ea"/>
              <a:cs typeface="+mn-cs"/>
            </a:rPr>
            <a:t>309,690.23</a:t>
          </a:r>
          <a:r>
            <a:rPr lang="en-GB" sz="1600" b="0">
              <a:solidFill>
                <a:schemeClr val="bg1"/>
              </a:solidFill>
              <a:effectLst/>
            </a:rPr>
            <a:t> </a:t>
          </a:r>
          <a:endParaRPr lang="en-GB" sz="1600" b="0">
            <a:solidFill>
              <a:schemeClr val="bg1"/>
            </a:solidFill>
          </a:endParaRPr>
        </a:p>
      </xdr:txBody>
    </xdr:sp>
    <xdr:clientData/>
  </xdr:twoCellAnchor>
  <xdr:twoCellAnchor>
    <xdr:from>
      <xdr:col>6</xdr:col>
      <xdr:colOff>594013</xdr:colOff>
      <xdr:row>16</xdr:row>
      <xdr:rowOff>100445</xdr:rowOff>
    </xdr:from>
    <xdr:to>
      <xdr:col>11</xdr:col>
      <xdr:colOff>143740</xdr:colOff>
      <xdr:row>18</xdr:row>
      <xdr:rowOff>109104</xdr:rowOff>
    </xdr:to>
    <xdr:sp macro="" textlink="">
      <xdr:nvSpPr>
        <xdr:cNvPr id="25" name="TextBox 24">
          <a:extLst>
            <a:ext uri="{FF2B5EF4-FFF2-40B4-BE49-F238E27FC236}">
              <a16:creationId xmlns:a16="http://schemas.microsoft.com/office/drawing/2014/main" id="{A1BBEEDD-893C-4CB2-A6DB-5F85DD3DAF64}"/>
            </a:ext>
          </a:extLst>
        </xdr:cNvPr>
        <xdr:cNvSpPr txBox="1"/>
      </xdr:nvSpPr>
      <xdr:spPr>
        <a:xfrm>
          <a:off x="4230831" y="3148445"/>
          <a:ext cx="2580409"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1"/>
              </a:solidFill>
            </a:rPr>
            <a:t>Year</a:t>
          </a:r>
          <a:r>
            <a:rPr lang="en-GB" sz="1600" b="0" baseline="0">
              <a:solidFill>
                <a:schemeClr val="bg1"/>
              </a:solidFill>
            </a:rPr>
            <a:t> </a:t>
          </a:r>
          <a:r>
            <a:rPr lang="en-GB" sz="1600" b="0">
              <a:solidFill>
                <a:schemeClr val="bg1"/>
              </a:solidFill>
            </a:rPr>
            <a:t>Income - </a:t>
          </a:r>
          <a:r>
            <a:rPr lang="en-GB" sz="1600" b="0" i="0" u="none" strike="noStrike">
              <a:solidFill>
                <a:schemeClr val="bg1"/>
              </a:solidFill>
              <a:effectLst/>
              <a:latin typeface="+mn-lt"/>
              <a:ea typeface="+mn-ea"/>
              <a:cs typeface="+mn-cs"/>
            </a:rPr>
            <a:t>$188,812.00</a:t>
          </a:r>
          <a:r>
            <a:rPr lang="en-GB" sz="1600">
              <a:solidFill>
                <a:schemeClr val="bg1"/>
              </a:solidFill>
              <a:effectLst/>
            </a:rPr>
            <a:t> </a:t>
          </a:r>
          <a:endParaRPr lang="en-GB" sz="1600" b="0">
            <a:solidFill>
              <a:schemeClr val="bg1"/>
            </a:solidFill>
          </a:endParaRPr>
        </a:p>
      </xdr:txBody>
    </xdr:sp>
    <xdr:clientData/>
  </xdr:twoCellAnchor>
  <xdr:twoCellAnchor>
    <xdr:from>
      <xdr:col>27</xdr:col>
      <xdr:colOff>408708</xdr:colOff>
      <xdr:row>30</xdr:row>
      <xdr:rowOff>74468</xdr:rowOff>
    </xdr:from>
    <xdr:to>
      <xdr:col>34</xdr:col>
      <xdr:colOff>69273</xdr:colOff>
      <xdr:row>48</xdr:row>
      <xdr:rowOff>74468</xdr:rowOff>
    </xdr:to>
    <xdr:graphicFrame macro="">
      <xdr:nvGraphicFramePr>
        <xdr:cNvPr id="27" name="2023 Investment Income Line Chart">
          <a:extLst>
            <a:ext uri="{FF2B5EF4-FFF2-40B4-BE49-F238E27FC236}">
              <a16:creationId xmlns:a16="http://schemas.microsoft.com/office/drawing/2014/main" id="{E9F13F5C-1349-422C-B111-16FE63FA6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467592</xdr:colOff>
      <xdr:row>13</xdr:row>
      <xdr:rowOff>25978</xdr:rowOff>
    </xdr:from>
    <xdr:to>
      <xdr:col>5</xdr:col>
      <xdr:colOff>576695</xdr:colOff>
      <xdr:row>16</xdr:row>
      <xdr:rowOff>169718</xdr:rowOff>
    </xdr:to>
    <xdr:pic>
      <xdr:nvPicPr>
        <xdr:cNvPr id="32" name="Graphic 31" descr="Bank with solid fill">
          <a:extLst>
            <a:ext uri="{FF2B5EF4-FFF2-40B4-BE49-F238E27FC236}">
              <a16:creationId xmlns:a16="http://schemas.microsoft.com/office/drawing/2014/main" id="{B36F069C-4A9B-56E5-D565-B2326C0012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92137" y="2502478"/>
          <a:ext cx="715240" cy="715240"/>
        </a:xfrm>
        <a:prstGeom prst="rect">
          <a:avLst/>
        </a:prstGeom>
      </xdr:spPr>
    </xdr:pic>
    <xdr:clientData/>
  </xdr:twoCellAnchor>
  <xdr:twoCellAnchor>
    <xdr:from>
      <xdr:col>19</xdr:col>
      <xdr:colOff>573232</xdr:colOff>
      <xdr:row>27</xdr:row>
      <xdr:rowOff>91786</xdr:rowOff>
    </xdr:from>
    <xdr:to>
      <xdr:col>27</xdr:col>
      <xdr:colOff>57150</xdr:colOff>
      <xdr:row>51</xdr:row>
      <xdr:rowOff>71006</xdr:rowOff>
    </xdr:to>
    <xdr:sp macro="" textlink="">
      <xdr:nvSpPr>
        <xdr:cNvPr id="29" name="Rectangle: Rounded Corners 28">
          <a:extLst>
            <a:ext uri="{FF2B5EF4-FFF2-40B4-BE49-F238E27FC236}">
              <a16:creationId xmlns:a16="http://schemas.microsoft.com/office/drawing/2014/main" id="{5A0A554C-1CAB-45A8-A4A3-1AEDF6CAC12F}"/>
            </a:ext>
          </a:extLst>
        </xdr:cNvPr>
        <xdr:cNvSpPr/>
      </xdr:nvSpPr>
      <xdr:spPr>
        <a:xfrm>
          <a:off x="12089823" y="5235286"/>
          <a:ext cx="4333009" cy="4551220"/>
        </a:xfrm>
        <a:prstGeom prst="roundRect">
          <a:avLst/>
        </a:prstGeom>
        <a:solidFill>
          <a:srgbClr val="1000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b="1"/>
            <a:t>Depts</a:t>
          </a:r>
          <a:endParaRPr lang="en-GB" sz="1200" b="1"/>
        </a:p>
        <a:p>
          <a:pPr algn="l"/>
          <a:r>
            <a:rPr lang="en-GB" sz="1200"/>
            <a:t>2023 market</a:t>
          </a:r>
          <a:r>
            <a:rPr lang="en-GB" sz="1200" baseline="0"/>
            <a:t> value</a:t>
          </a:r>
          <a:endParaRPr lang="en-GB" sz="1200"/>
        </a:p>
        <a:p>
          <a:pPr algn="l"/>
          <a:endParaRPr lang="en-GB" sz="1200"/>
        </a:p>
        <a:p>
          <a:pPr algn="l"/>
          <a:r>
            <a:rPr lang="en-GB" sz="2400"/>
            <a:t>House</a:t>
          </a:r>
          <a:r>
            <a:rPr lang="en-GB" sz="2400" baseline="0"/>
            <a:t> - 300,000</a:t>
          </a:r>
        </a:p>
        <a:p>
          <a:pPr algn="l"/>
          <a:endParaRPr lang="en-GB" sz="2400" baseline="0"/>
        </a:p>
        <a:p>
          <a:pPr algn="l"/>
          <a:r>
            <a:rPr lang="en-GB" sz="2400" baseline="0"/>
            <a:t>student loans - 11,000</a:t>
          </a:r>
          <a:endParaRPr lang="en-GB" sz="2400"/>
        </a:p>
        <a:p>
          <a:pPr algn="l"/>
          <a:endParaRPr lang="en-GB" sz="1100"/>
        </a:p>
        <a:p>
          <a:pPr algn="l"/>
          <a:endParaRPr lang="en-GB" sz="1100"/>
        </a:p>
        <a:p>
          <a:pPr algn="l"/>
          <a:endParaRPr lang="en-GB" sz="1100"/>
        </a:p>
      </xdr:txBody>
    </xdr:sp>
    <xdr:clientData/>
  </xdr:twoCellAnchor>
  <xdr:twoCellAnchor>
    <xdr:from>
      <xdr:col>13</xdr:col>
      <xdr:colOff>242453</xdr:colOff>
      <xdr:row>47</xdr:row>
      <xdr:rowOff>138546</xdr:rowOff>
    </xdr:from>
    <xdr:to>
      <xdr:col>18</xdr:col>
      <xdr:colOff>303066</xdr:colOff>
      <xdr:row>50</xdr:row>
      <xdr:rowOff>147203</xdr:rowOff>
    </xdr:to>
    <xdr:sp macro="" textlink="">
      <xdr:nvSpPr>
        <xdr:cNvPr id="30" name="Flowchart: Alternative Process 29">
          <a:extLst>
            <a:ext uri="{FF2B5EF4-FFF2-40B4-BE49-F238E27FC236}">
              <a16:creationId xmlns:a16="http://schemas.microsoft.com/office/drawing/2014/main" id="{2CCBE1B4-D737-2642-DCA4-05BE89C6526C}"/>
            </a:ext>
          </a:extLst>
        </xdr:cNvPr>
        <xdr:cNvSpPr/>
      </xdr:nvSpPr>
      <xdr:spPr>
        <a:xfrm>
          <a:off x="8122226" y="9092046"/>
          <a:ext cx="3091295" cy="580157"/>
        </a:xfrm>
        <a:prstGeom prst="flowChartAlternateProcess">
          <a:avLst/>
        </a:prstGeom>
        <a:solidFill>
          <a:srgbClr val="0300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u="none" strike="noStrike">
              <a:solidFill>
                <a:schemeClr val="lt1"/>
              </a:solidFill>
              <a:effectLst/>
              <a:latin typeface="+mn-lt"/>
              <a:ea typeface="+mn-ea"/>
              <a:cs typeface="+mn-cs"/>
            </a:rPr>
            <a:t> </a:t>
          </a:r>
          <a:r>
            <a:rPr lang="en-GB" sz="2800" b="1" u="none" strike="noStrike">
              <a:solidFill>
                <a:schemeClr val="lt1"/>
              </a:solidFill>
              <a:effectLst/>
              <a:latin typeface="+mn-lt"/>
              <a:ea typeface="+mn-ea"/>
              <a:cs typeface="+mn-cs"/>
            </a:rPr>
            <a:t>Total - $1,032,000</a:t>
          </a:r>
          <a:endParaRPr lang="en-GB" sz="2400"/>
        </a:p>
      </xdr:txBody>
    </xdr:sp>
    <xdr:clientData/>
  </xdr:twoCellAnchor>
  <xdr:twoCellAnchor>
    <xdr:from>
      <xdr:col>21</xdr:col>
      <xdr:colOff>13853</xdr:colOff>
      <xdr:row>47</xdr:row>
      <xdr:rowOff>117764</xdr:rowOff>
    </xdr:from>
    <xdr:to>
      <xdr:col>26</xdr:col>
      <xdr:colOff>74467</xdr:colOff>
      <xdr:row>50</xdr:row>
      <xdr:rowOff>126421</xdr:rowOff>
    </xdr:to>
    <xdr:sp macro="" textlink="">
      <xdr:nvSpPr>
        <xdr:cNvPr id="31" name="Flowchart: Alternative Process 30">
          <a:extLst>
            <a:ext uri="{FF2B5EF4-FFF2-40B4-BE49-F238E27FC236}">
              <a16:creationId xmlns:a16="http://schemas.microsoft.com/office/drawing/2014/main" id="{CD8E69DD-6CFD-426A-B836-A370B0B75563}"/>
            </a:ext>
          </a:extLst>
        </xdr:cNvPr>
        <xdr:cNvSpPr/>
      </xdr:nvSpPr>
      <xdr:spPr>
        <a:xfrm>
          <a:off x="12742717" y="9071264"/>
          <a:ext cx="3091295" cy="580157"/>
        </a:xfrm>
        <a:prstGeom prst="flowChartAlternateProcess">
          <a:avLst/>
        </a:prstGeom>
        <a:solidFill>
          <a:srgbClr val="0300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u="none" strike="noStrike">
              <a:solidFill>
                <a:schemeClr val="lt1"/>
              </a:solidFill>
              <a:effectLst/>
              <a:latin typeface="+mn-lt"/>
              <a:ea typeface="+mn-ea"/>
              <a:cs typeface="+mn-cs"/>
            </a:rPr>
            <a:t> </a:t>
          </a:r>
          <a:r>
            <a:rPr lang="en-GB" sz="2800" b="1" u="none" strike="noStrike">
              <a:solidFill>
                <a:schemeClr val="lt1"/>
              </a:solidFill>
              <a:effectLst/>
              <a:latin typeface="+mn-lt"/>
              <a:ea typeface="+mn-ea"/>
              <a:cs typeface="+mn-cs"/>
            </a:rPr>
            <a:t>Total - $289,000</a:t>
          </a:r>
          <a:endParaRPr lang="en-GB" sz="2400"/>
        </a:p>
      </xdr:txBody>
    </xdr:sp>
    <xdr:clientData/>
  </xdr:twoCellAnchor>
  <xdr:twoCellAnchor>
    <xdr:from>
      <xdr:col>12</xdr:col>
      <xdr:colOff>17318</xdr:colOff>
      <xdr:row>16</xdr:row>
      <xdr:rowOff>43293</xdr:rowOff>
    </xdr:from>
    <xdr:to>
      <xdr:col>21</xdr:col>
      <xdr:colOff>528203</xdr:colOff>
      <xdr:row>25</xdr:row>
      <xdr:rowOff>138546</xdr:rowOff>
    </xdr:to>
    <xdr:graphicFrame macro="">
      <xdr:nvGraphicFramePr>
        <xdr:cNvPr id="33" name="Chart 32">
          <a:extLst>
            <a:ext uri="{FF2B5EF4-FFF2-40B4-BE49-F238E27FC236}">
              <a16:creationId xmlns:a16="http://schemas.microsoft.com/office/drawing/2014/main" id="{6D4D7434-232B-4F0D-AEB8-D43BC2C2A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53686</xdr:colOff>
      <xdr:row>6</xdr:row>
      <xdr:rowOff>164526</xdr:rowOff>
    </xdr:from>
    <xdr:to>
      <xdr:col>22</xdr:col>
      <xdr:colOff>8659</xdr:colOff>
      <xdr:row>16</xdr:row>
      <xdr:rowOff>173184</xdr:rowOff>
    </xdr:to>
    <xdr:graphicFrame macro="">
      <xdr:nvGraphicFramePr>
        <xdr:cNvPr id="34" name="Chart 33">
          <a:extLst>
            <a:ext uri="{FF2B5EF4-FFF2-40B4-BE49-F238E27FC236}">
              <a16:creationId xmlns:a16="http://schemas.microsoft.com/office/drawing/2014/main" id="{1C6F77E6-EC22-4460-8890-73A98CDB4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161061</xdr:colOff>
      <xdr:row>3</xdr:row>
      <xdr:rowOff>180109</xdr:rowOff>
    </xdr:from>
    <xdr:to>
      <xdr:col>16</xdr:col>
      <xdr:colOff>597478</xdr:colOff>
      <xdr:row>6</xdr:row>
      <xdr:rowOff>103909</xdr:rowOff>
    </xdr:to>
    <xdr:sp macro="" textlink="">
      <xdr:nvSpPr>
        <xdr:cNvPr id="35" name="Rectangle: Rounded Corners 34">
          <a:extLst>
            <a:ext uri="{FF2B5EF4-FFF2-40B4-BE49-F238E27FC236}">
              <a16:creationId xmlns:a16="http://schemas.microsoft.com/office/drawing/2014/main" id="{48909DE4-60E2-4A09-BE2E-701BC9D581CB}"/>
            </a:ext>
          </a:extLst>
        </xdr:cNvPr>
        <xdr:cNvSpPr/>
      </xdr:nvSpPr>
      <xdr:spPr>
        <a:xfrm>
          <a:off x="8040834" y="751609"/>
          <a:ext cx="2254826" cy="495300"/>
        </a:xfrm>
        <a:prstGeom prst="roundRect">
          <a:avLst/>
        </a:prstGeom>
        <a:solidFill>
          <a:srgbClr val="0500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t>Goals</a:t>
          </a:r>
        </a:p>
        <a:p>
          <a:pPr algn="l"/>
          <a:endParaRPr lang="en-GB" sz="1100"/>
        </a:p>
      </xdr:txBody>
    </xdr:sp>
    <xdr:clientData/>
  </xdr:twoCellAnchor>
  <xdr:twoCellAnchor>
    <xdr:from>
      <xdr:col>0</xdr:col>
      <xdr:colOff>403515</xdr:colOff>
      <xdr:row>19</xdr:row>
      <xdr:rowOff>164524</xdr:rowOff>
    </xdr:from>
    <xdr:to>
      <xdr:col>5</xdr:col>
      <xdr:colOff>441613</xdr:colOff>
      <xdr:row>34</xdr:row>
      <xdr:rowOff>17318</xdr:rowOff>
    </xdr:to>
    <xdr:graphicFrame macro="">
      <xdr:nvGraphicFramePr>
        <xdr:cNvPr id="28" name="2023 Income Source Chart">
          <a:extLst>
            <a:ext uri="{FF2B5EF4-FFF2-40B4-BE49-F238E27FC236}">
              <a16:creationId xmlns:a16="http://schemas.microsoft.com/office/drawing/2014/main" id="{C20E5809-1D15-49A8-AA45-C34849B1E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225136</xdr:colOff>
      <xdr:row>4</xdr:row>
      <xdr:rowOff>43296</xdr:rowOff>
    </xdr:from>
    <xdr:to>
      <xdr:col>34</xdr:col>
      <xdr:colOff>51955</xdr:colOff>
      <xdr:row>25</xdr:row>
      <xdr:rowOff>69273</xdr:rowOff>
    </xdr:to>
    <xdr:sp macro="" textlink="">
      <xdr:nvSpPr>
        <xdr:cNvPr id="37" name="Rectangle: Rounded Corners 36">
          <a:extLst>
            <a:ext uri="{FF2B5EF4-FFF2-40B4-BE49-F238E27FC236}">
              <a16:creationId xmlns:a16="http://schemas.microsoft.com/office/drawing/2014/main" id="{E59BE083-1DD5-86A5-D6DE-068D4DB3F800}"/>
            </a:ext>
          </a:extLst>
        </xdr:cNvPr>
        <xdr:cNvSpPr/>
      </xdr:nvSpPr>
      <xdr:spPr>
        <a:xfrm>
          <a:off x="12954000" y="805296"/>
          <a:ext cx="7706591" cy="4026477"/>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21</xdr:col>
      <xdr:colOff>355022</xdr:colOff>
      <xdr:row>6</xdr:row>
      <xdr:rowOff>43295</xdr:rowOff>
    </xdr:from>
    <xdr:to>
      <xdr:col>33</xdr:col>
      <xdr:colOff>381000</xdr:colOff>
      <xdr:row>23</xdr:row>
      <xdr:rowOff>173848</xdr:rowOff>
    </xdr:to>
    <xdr:pic>
      <xdr:nvPicPr>
        <xdr:cNvPr id="36" name="Graphic 35">
          <a:extLst>
            <a:ext uri="{FF2B5EF4-FFF2-40B4-BE49-F238E27FC236}">
              <a16:creationId xmlns:a16="http://schemas.microsoft.com/office/drawing/2014/main" id="{5320AC14-7FDB-4C82-A541-3640081EADD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083886" y="1186295"/>
          <a:ext cx="7299614" cy="3369053"/>
        </a:xfrm>
        <a:prstGeom prst="rect">
          <a:avLst/>
        </a:prstGeom>
      </xdr:spPr>
    </xdr:pic>
    <xdr:clientData/>
  </xdr:twoCellAnchor>
  <xdr:twoCellAnchor>
    <xdr:from>
      <xdr:col>22</xdr:col>
      <xdr:colOff>339439</xdr:colOff>
      <xdr:row>4</xdr:row>
      <xdr:rowOff>98713</xdr:rowOff>
    </xdr:from>
    <xdr:to>
      <xdr:col>24</xdr:col>
      <xdr:colOff>406978</xdr:colOff>
      <xdr:row>7</xdr:row>
      <xdr:rowOff>22513</xdr:rowOff>
    </xdr:to>
    <xdr:sp macro="" textlink="">
      <xdr:nvSpPr>
        <xdr:cNvPr id="38" name="Rectangle: Rounded Corners 37">
          <a:extLst>
            <a:ext uri="{FF2B5EF4-FFF2-40B4-BE49-F238E27FC236}">
              <a16:creationId xmlns:a16="http://schemas.microsoft.com/office/drawing/2014/main" id="{34975344-4B75-464F-9DCC-1BF7B4D03279}"/>
            </a:ext>
          </a:extLst>
        </xdr:cNvPr>
        <xdr:cNvSpPr/>
      </xdr:nvSpPr>
      <xdr:spPr>
        <a:xfrm>
          <a:off x="13674439" y="860713"/>
          <a:ext cx="1279812" cy="495300"/>
        </a:xfrm>
        <a:prstGeom prst="roundRect">
          <a:avLst/>
        </a:prstGeom>
        <a:solidFill>
          <a:srgbClr val="0500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t>Cashflow</a:t>
          </a:r>
        </a:p>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95250</xdr:colOff>
      <xdr:row>8</xdr:row>
      <xdr:rowOff>28575</xdr:rowOff>
    </xdr:from>
    <xdr:to>
      <xdr:col>24</xdr:col>
      <xdr:colOff>133350</xdr:colOff>
      <xdr:row>28</xdr:row>
      <xdr:rowOff>28575</xdr:rowOff>
    </xdr:to>
    <xdr:graphicFrame macro="">
      <xdr:nvGraphicFramePr>
        <xdr:cNvPr id="2" name="Chart 1">
          <a:extLst>
            <a:ext uri="{FF2B5EF4-FFF2-40B4-BE49-F238E27FC236}">
              <a16:creationId xmlns:a16="http://schemas.microsoft.com/office/drawing/2014/main" id="{FC6F3825-5D02-656C-B92E-1E282EB58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130175</xdr:colOff>
      <xdr:row>10</xdr:row>
      <xdr:rowOff>149225</xdr:rowOff>
    </xdr:from>
    <xdr:to>
      <xdr:col>9</xdr:col>
      <xdr:colOff>206375</xdr:colOff>
      <xdr:row>20</xdr:row>
      <xdr:rowOff>149225</xdr:rowOff>
    </xdr:to>
    <mc:AlternateContent xmlns:mc="http://schemas.openxmlformats.org/markup-compatibility/2006" xmlns:a14="http://schemas.microsoft.com/office/drawing/2010/main">
      <mc:Choice Requires="a14">
        <xdr:graphicFrame macro="">
          <xdr:nvGraphicFramePr>
            <xdr:cNvPr id="6" name="Year Selector - Expenses">
              <a:extLst>
                <a:ext uri="{FF2B5EF4-FFF2-40B4-BE49-F238E27FC236}">
                  <a16:creationId xmlns:a16="http://schemas.microsoft.com/office/drawing/2014/main" id="{EF9A676C-22D1-A772-E60E-2706568711B1}"/>
                </a:ext>
              </a:extLst>
            </xdr:cNvPr>
            <xdr:cNvGraphicFramePr/>
          </xdr:nvGraphicFramePr>
          <xdr:xfrm>
            <a:off x="0" y="0"/>
            <a:ext cx="0" cy="0"/>
          </xdr:xfrm>
          <a:graphic>
            <a:graphicData uri="http://schemas.microsoft.com/office/drawing/2010/slicer">
              <sle:slicer xmlns:sle="http://schemas.microsoft.com/office/drawing/2010/slicer" name="Year Selector - Expenses"/>
            </a:graphicData>
          </a:graphic>
        </xdr:graphicFrame>
      </mc:Choice>
      <mc:Fallback xmlns="">
        <xdr:sp macro="" textlink="">
          <xdr:nvSpPr>
            <xdr:cNvPr id="0" name=""/>
            <xdr:cNvSpPr>
              <a:spLocks noTextEdit="1"/>
            </xdr:cNvSpPr>
          </xdr:nvSpPr>
          <xdr:spPr>
            <a:xfrm>
              <a:off x="4435475" y="2054225"/>
              <a:ext cx="1905000" cy="190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603250</xdr:colOff>
      <xdr:row>4</xdr:row>
      <xdr:rowOff>66675</xdr:rowOff>
    </xdr:from>
    <xdr:to>
      <xdr:col>8</xdr:col>
      <xdr:colOff>133350</xdr:colOff>
      <xdr:row>62</xdr:row>
      <xdr:rowOff>123825</xdr:rowOff>
    </xdr:to>
    <mc:AlternateContent xmlns:mc="http://schemas.openxmlformats.org/markup-compatibility/2006" xmlns:sle15="http://schemas.microsoft.com/office/drawing/2012/slicer">
      <mc:Choice Requires="sle15">
        <xdr:graphicFrame macro="">
          <xdr:nvGraphicFramePr>
            <xdr:cNvPr id="2" name="Year_Selector_Expenses_Sheet6">
              <a:extLst>
                <a:ext uri="{FF2B5EF4-FFF2-40B4-BE49-F238E27FC236}">
                  <a16:creationId xmlns:a16="http://schemas.microsoft.com/office/drawing/2014/main" id="{D6BAE839-1CC1-CF67-03A6-FFF4FEE38C74}"/>
                </a:ext>
              </a:extLst>
            </xdr:cNvPr>
            <xdr:cNvGraphicFramePr/>
          </xdr:nvGraphicFramePr>
          <xdr:xfrm>
            <a:off x="0" y="0"/>
            <a:ext cx="0" cy="0"/>
          </xdr:xfrm>
          <a:graphic>
            <a:graphicData uri="http://schemas.microsoft.com/office/drawing/2010/slicer">
              <sle:slicer xmlns:sle="http://schemas.microsoft.com/office/drawing/2010/slicer" name="Year_Selector_Expenses_Sheet6"/>
            </a:graphicData>
          </a:graphic>
        </xdr:graphicFrame>
      </mc:Choice>
      <mc:Fallback xmlns="">
        <xdr:sp macro="" textlink="">
          <xdr:nvSpPr>
            <xdr:cNvPr id="0" name=""/>
            <xdr:cNvSpPr>
              <a:spLocks noTextEdit="1"/>
            </xdr:cNvSpPr>
          </xdr:nvSpPr>
          <xdr:spPr>
            <a:xfrm>
              <a:off x="5156200" y="828675"/>
              <a:ext cx="1968500" cy="19621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561975</xdr:colOff>
      <xdr:row>0</xdr:row>
      <xdr:rowOff>19049</xdr:rowOff>
    </xdr:from>
    <xdr:to>
      <xdr:col>17</xdr:col>
      <xdr:colOff>200025</xdr:colOff>
      <xdr:row>46</xdr:row>
      <xdr:rowOff>38100</xdr:rowOff>
    </xdr:to>
    <xdr:graphicFrame macro="">
      <xdr:nvGraphicFramePr>
        <xdr:cNvPr id="3" name="Monthly Expenses Chart">
          <a:extLst>
            <a:ext uri="{FF2B5EF4-FFF2-40B4-BE49-F238E27FC236}">
              <a16:creationId xmlns:a16="http://schemas.microsoft.com/office/drawing/2014/main" id="{E64AE9E0-F40D-D0A9-B50C-5E5442CB0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590550</xdr:colOff>
      <xdr:row>47</xdr:row>
      <xdr:rowOff>0</xdr:rowOff>
    </xdr:from>
    <xdr:to>
      <xdr:col>17</xdr:col>
      <xdr:colOff>228600</xdr:colOff>
      <xdr:row>71</xdr:row>
      <xdr:rowOff>171451</xdr:rowOff>
    </xdr:to>
    <xdr:graphicFrame macro="">
      <xdr:nvGraphicFramePr>
        <xdr:cNvPr id="4" name="Monthly Expenses Chart">
          <a:extLst>
            <a:ext uri="{FF2B5EF4-FFF2-40B4-BE49-F238E27FC236}">
              <a16:creationId xmlns:a16="http://schemas.microsoft.com/office/drawing/2014/main" id="{DFF9B933-435E-4741-97FE-FD30E1CA0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66675</xdr:colOff>
      <xdr:row>2</xdr:row>
      <xdr:rowOff>85725</xdr:rowOff>
    </xdr:from>
    <xdr:to>
      <xdr:col>12</xdr:col>
      <xdr:colOff>66675</xdr:colOff>
      <xdr:row>20</xdr:row>
      <xdr:rowOff>85725</xdr:rowOff>
    </xdr:to>
    <xdr:graphicFrame macro="">
      <xdr:nvGraphicFramePr>
        <xdr:cNvPr id="2" name="Income vs Expense Chart">
          <a:extLst>
            <a:ext uri="{FF2B5EF4-FFF2-40B4-BE49-F238E27FC236}">
              <a16:creationId xmlns:a16="http://schemas.microsoft.com/office/drawing/2014/main" id="{99A3F2C0-6942-88B7-0B8B-1632C3BBD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319087</xdr:colOff>
      <xdr:row>32</xdr:row>
      <xdr:rowOff>19050</xdr:rowOff>
    </xdr:from>
    <xdr:to>
      <xdr:col>21</xdr:col>
      <xdr:colOff>14287</xdr:colOff>
      <xdr:row>46</xdr:row>
      <xdr:rowOff>95250</xdr:rowOff>
    </xdr:to>
    <xdr:graphicFrame macro="">
      <xdr:nvGraphicFramePr>
        <xdr:cNvPr id="5" name="Chart 4">
          <a:extLst>
            <a:ext uri="{FF2B5EF4-FFF2-40B4-BE49-F238E27FC236}">
              <a16:creationId xmlns:a16="http://schemas.microsoft.com/office/drawing/2014/main" id="{ED4A2FFB-305C-17FC-EE32-A960A949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85725</xdr:colOff>
      <xdr:row>3</xdr:row>
      <xdr:rowOff>9525</xdr:rowOff>
    </xdr:from>
    <xdr:to>
      <xdr:col>12</xdr:col>
      <xdr:colOff>85725</xdr:colOff>
      <xdr:row>21</xdr:row>
      <xdr:rowOff>9525</xdr:rowOff>
    </xdr:to>
    <xdr:graphicFrame macro="">
      <xdr:nvGraphicFramePr>
        <xdr:cNvPr id="3" name="Types of Expenses Pie Chart">
          <a:extLst>
            <a:ext uri="{FF2B5EF4-FFF2-40B4-BE49-F238E27FC236}">
              <a16:creationId xmlns:a16="http://schemas.microsoft.com/office/drawing/2014/main" id="{88A0E87F-DD42-A709-92D5-66E894180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0</xdr:colOff>
      <xdr:row>16</xdr:row>
      <xdr:rowOff>0</xdr:rowOff>
    </xdr:to>
    <xdr:graphicFrame macro="">
      <xdr:nvGraphicFramePr>
        <xdr:cNvPr id="2" name="Annual Income Chart">
          <a:extLst>
            <a:ext uri="{FF2B5EF4-FFF2-40B4-BE49-F238E27FC236}">
              <a16:creationId xmlns:a16="http://schemas.microsoft.com/office/drawing/2014/main" id="{5E285DE0-AAEE-F778-C0C6-D77A3EC84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342899</xdr:colOff>
      <xdr:row>17</xdr:row>
      <xdr:rowOff>152400</xdr:rowOff>
    </xdr:from>
    <xdr:to>
      <xdr:col>19</xdr:col>
      <xdr:colOff>142874</xdr:colOff>
      <xdr:row>34</xdr:row>
      <xdr:rowOff>76200</xdr:rowOff>
    </xdr:to>
    <xdr:graphicFrame macro="">
      <xdr:nvGraphicFramePr>
        <xdr:cNvPr id="4" name="Chart 3">
          <a:extLst>
            <a:ext uri="{FF2B5EF4-FFF2-40B4-BE49-F238E27FC236}">
              <a16:creationId xmlns:a16="http://schemas.microsoft.com/office/drawing/2014/main" id="{865F22A6-01A5-0661-0CE7-3B068DEF1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485775</xdr:colOff>
      <xdr:row>20</xdr:row>
      <xdr:rowOff>47625</xdr:rowOff>
    </xdr:from>
    <xdr:to>
      <xdr:col>28</xdr:col>
      <xdr:colOff>180975</xdr:colOff>
      <xdr:row>34</xdr:row>
      <xdr:rowOff>123825</xdr:rowOff>
    </xdr:to>
    <xdr:graphicFrame macro="">
      <xdr:nvGraphicFramePr>
        <xdr:cNvPr id="3" name="Chart 2">
          <a:extLst>
            <a:ext uri="{FF2B5EF4-FFF2-40B4-BE49-F238E27FC236}">
              <a16:creationId xmlns:a16="http://schemas.microsoft.com/office/drawing/2014/main" id="{B29C9F59-C7A9-523C-0428-7E7B0D810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476249</xdr:colOff>
      <xdr:row>5</xdr:row>
      <xdr:rowOff>171449</xdr:rowOff>
    </xdr:from>
    <xdr:to>
      <xdr:col>13</xdr:col>
      <xdr:colOff>581025</xdr:colOff>
      <xdr:row>26</xdr:row>
      <xdr:rowOff>9524</xdr:rowOff>
    </xdr:to>
    <xdr:graphicFrame macro="">
      <xdr:nvGraphicFramePr>
        <xdr:cNvPr id="3" name="Chart 2">
          <a:extLst>
            <a:ext uri="{FF2B5EF4-FFF2-40B4-BE49-F238E27FC236}">
              <a16:creationId xmlns:a16="http://schemas.microsoft.com/office/drawing/2014/main" id="{8943DB51-0DA4-C06A-0E8D-52DCB6366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4</xdr:col>
      <xdr:colOff>298450</xdr:colOff>
      <xdr:row>7</xdr:row>
      <xdr:rowOff>38100</xdr:rowOff>
    </xdr:from>
    <xdr:to>
      <xdr:col>7</xdr:col>
      <xdr:colOff>438150</xdr:colOff>
      <xdr:row>16</xdr:row>
      <xdr:rowOff>38100</xdr:rowOff>
    </xdr:to>
    <mc:AlternateContent xmlns:mc="http://schemas.openxmlformats.org/markup-compatibility/2006" xmlns:sle15="http://schemas.microsoft.com/office/drawing/2012/slicer">
      <mc:Choice Requires="sle15">
        <xdr:graphicFrame macro="">
          <xdr:nvGraphicFramePr>
            <xdr:cNvPr id="2" name="Year_Selector_Income">
              <a:extLst>
                <a:ext uri="{FF2B5EF4-FFF2-40B4-BE49-F238E27FC236}">
                  <a16:creationId xmlns:a16="http://schemas.microsoft.com/office/drawing/2014/main" id="{1A4EAE33-FBFA-ECD0-4091-728D370DF05B}"/>
                </a:ext>
              </a:extLst>
            </xdr:cNvPr>
            <xdr:cNvGraphicFramePr/>
          </xdr:nvGraphicFramePr>
          <xdr:xfrm>
            <a:off x="0" y="0"/>
            <a:ext cx="0" cy="0"/>
          </xdr:xfrm>
          <a:graphic>
            <a:graphicData uri="http://schemas.microsoft.com/office/drawing/2010/slicer">
              <sle:slicer xmlns:sle="http://schemas.microsoft.com/office/drawing/2010/slicer" name="Year_Selector_Income"/>
            </a:graphicData>
          </a:graphic>
        </xdr:graphicFrame>
      </mc:Choice>
      <mc:Fallback xmlns="">
        <xdr:sp macro="" textlink="">
          <xdr:nvSpPr>
            <xdr:cNvPr id="0" name=""/>
            <xdr:cNvSpPr>
              <a:spLocks noTextEdit="1"/>
            </xdr:cNvSpPr>
          </xdr:nvSpPr>
          <xdr:spPr>
            <a:xfrm>
              <a:off x="6413500" y="1476375"/>
              <a:ext cx="196850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161925</xdr:colOff>
      <xdr:row>29</xdr:row>
      <xdr:rowOff>9525</xdr:rowOff>
    </xdr:from>
    <xdr:to>
      <xdr:col>18</xdr:col>
      <xdr:colOff>409575</xdr:colOff>
      <xdr:row>37</xdr:row>
      <xdr:rowOff>66675</xdr:rowOff>
    </xdr:to>
    <xdr:graphicFrame macro="">
      <xdr:nvGraphicFramePr>
        <xdr:cNvPr id="3" name="Monthly Income Chart">
          <a:extLst>
            <a:ext uri="{FF2B5EF4-FFF2-40B4-BE49-F238E27FC236}">
              <a16:creationId xmlns:a16="http://schemas.microsoft.com/office/drawing/2014/main" id="{2D33900A-E5F6-01C4-0D5D-12235612F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133350</xdr:colOff>
      <xdr:row>65</xdr:row>
      <xdr:rowOff>95250</xdr:rowOff>
    </xdr:from>
    <xdr:to>
      <xdr:col>17</xdr:col>
      <xdr:colOff>438150</xdr:colOff>
      <xdr:row>79</xdr:row>
      <xdr:rowOff>171450</xdr:rowOff>
    </xdr:to>
    <xdr:graphicFrame macro="">
      <xdr:nvGraphicFramePr>
        <xdr:cNvPr id="5" name="Chart 4">
          <a:extLst>
            <a:ext uri="{FF2B5EF4-FFF2-40B4-BE49-F238E27FC236}">
              <a16:creationId xmlns:a16="http://schemas.microsoft.com/office/drawing/2014/main" id="{811AB4BD-BFF2-8222-890D-DA73BE43C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428625</xdr:colOff>
      <xdr:row>73</xdr:row>
      <xdr:rowOff>66675</xdr:rowOff>
    </xdr:from>
    <xdr:to>
      <xdr:col>9</xdr:col>
      <xdr:colOff>361950</xdr:colOff>
      <xdr:row>87</xdr:row>
      <xdr:rowOff>142875</xdr:rowOff>
    </xdr:to>
    <xdr:graphicFrame macro="">
      <xdr:nvGraphicFramePr>
        <xdr:cNvPr id="6" name="Chart 5">
          <a:extLst>
            <a:ext uri="{FF2B5EF4-FFF2-40B4-BE49-F238E27FC236}">
              <a16:creationId xmlns:a16="http://schemas.microsoft.com/office/drawing/2014/main" id="{B109E3DC-8187-47CC-F247-23B765DE5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609599</xdr:colOff>
      <xdr:row>4</xdr:row>
      <xdr:rowOff>0</xdr:rowOff>
    </xdr:from>
    <xdr:to>
      <xdr:col>14</xdr:col>
      <xdr:colOff>123824</xdr:colOff>
      <xdr:row>22</xdr:row>
      <xdr:rowOff>0</xdr:rowOff>
    </xdr:to>
    <xdr:graphicFrame macro="">
      <xdr:nvGraphicFramePr>
        <xdr:cNvPr id="2" name="2023 Investment Income Line Chart">
          <a:extLst>
            <a:ext uri="{FF2B5EF4-FFF2-40B4-BE49-F238E27FC236}">
              <a16:creationId xmlns:a16="http://schemas.microsoft.com/office/drawing/2014/main" id="{D2EFA99D-09B4-15FA-A5D6-59F17CB23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333374</xdr:colOff>
      <xdr:row>11</xdr:row>
      <xdr:rowOff>180975</xdr:rowOff>
    </xdr:from>
    <xdr:to>
      <xdr:col>7</xdr:col>
      <xdr:colOff>66675</xdr:colOff>
      <xdr:row>24</xdr:row>
      <xdr:rowOff>9525</xdr:rowOff>
    </xdr:to>
    <xdr:graphicFrame macro="">
      <xdr:nvGraphicFramePr>
        <xdr:cNvPr id="3" name="Chart 2">
          <a:extLst>
            <a:ext uri="{FF2B5EF4-FFF2-40B4-BE49-F238E27FC236}">
              <a16:creationId xmlns:a16="http://schemas.microsoft.com/office/drawing/2014/main" id="{36B2DAB3-A62C-2682-8D93-EC2F15F65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12</xdr:row>
      <xdr:rowOff>161925</xdr:rowOff>
    </xdr:from>
    <xdr:to>
      <xdr:col>13</xdr:col>
      <xdr:colOff>762000</xdr:colOff>
      <xdr:row>27</xdr:row>
      <xdr:rowOff>47625</xdr:rowOff>
    </xdr:to>
    <xdr:graphicFrame macro="">
      <xdr:nvGraphicFramePr>
        <xdr:cNvPr id="6" name="Chart 5">
          <a:extLst>
            <a:ext uri="{FF2B5EF4-FFF2-40B4-BE49-F238E27FC236}">
              <a16:creationId xmlns:a16="http://schemas.microsoft.com/office/drawing/2014/main" id="{471BB216-5679-05F6-3C6C-CB8B82A01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1046161</xdr:colOff>
      <xdr:row>15</xdr:row>
      <xdr:rowOff>76199</xdr:rowOff>
    </xdr:from>
    <xdr:to>
      <xdr:col>29</xdr:col>
      <xdr:colOff>38099</xdr:colOff>
      <xdr:row>17</xdr:row>
      <xdr:rowOff>4486274</xdr:rowOff>
    </xdr:to>
    <xdr:pic>
      <xdr:nvPicPr>
        <xdr:cNvPr id="9" name="Graphic 8">
          <a:extLst>
            <a:ext uri="{FF2B5EF4-FFF2-40B4-BE49-F238E27FC236}">
              <a16:creationId xmlns:a16="http://schemas.microsoft.com/office/drawing/2014/main" id="{3270B099-0DE8-E47C-48EB-12A9EB914F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52436" y="3124199"/>
          <a:ext cx="10793413" cy="49815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3</xdr:row>
      <xdr:rowOff>0</xdr:rowOff>
    </xdr:from>
    <xdr:to>
      <xdr:col>10</xdr:col>
      <xdr:colOff>0</xdr:colOff>
      <xdr:row>18</xdr:row>
      <xdr:rowOff>0</xdr:rowOff>
    </xdr:to>
    <xdr:graphicFrame macro="">
      <xdr:nvGraphicFramePr>
        <xdr:cNvPr id="2" name="2023 Income Source Chart">
          <a:extLst>
            <a:ext uri="{FF2B5EF4-FFF2-40B4-BE49-F238E27FC236}">
              <a16:creationId xmlns:a16="http://schemas.microsoft.com/office/drawing/2014/main" id="{A3A8E1AC-534B-84D4-0534-EFD320B2A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den Tsui" refreshedDate="46219.445994560185" createdVersion="8" refreshedVersion="8" minRefreshableVersion="3" recordCount="1501" xr:uid="{A4256B21-6A17-4C80-AA97-474000BA49A9}">
  <cacheSource type="worksheet">
    <worksheetSource ref="A1:G1048576" sheet="Data"/>
  </cacheSource>
  <cacheFields count="10">
    <cacheField name="Date" numFmtId="164">
      <sharedItems containsNonDate="0" containsDate="1" containsString="0" containsBlank="1" minDate="2020-01-02T00:00:00" maxDate="2024-02-10T00:00:00" count="1501">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m/>
      </sharedItems>
      <fieldGroup par="9"/>
    </cacheField>
    <cacheField name="Transaction Description" numFmtId="0">
      <sharedItems containsBlank="1"/>
    </cacheField>
    <cacheField name="Category" numFmtId="0">
      <sharedItems containsBlank="1"/>
    </cacheField>
    <cacheField name="Amount" numFmtId="0">
      <sharedItems containsString="0" containsBlank="1" containsNumber="1" minValue="14.37" maxValue="4996"/>
    </cacheField>
    <cacheField name="Type" numFmtId="0">
      <sharedItems containsBlank="1" count="3">
        <s v="Expense"/>
        <s v="Income"/>
        <m/>
      </sharedItems>
    </cacheField>
    <cacheField name="Year" numFmtId="0">
      <sharedItems containsString="0" containsBlank="1" containsNumber="1" containsInteger="1" minValue="2020" maxValue="2024" count="6">
        <n v="2020"/>
        <n v="2021"/>
        <n v="2022"/>
        <n v="2023"/>
        <n v="2024"/>
        <m/>
      </sharedItems>
    </cacheField>
    <cacheField name="Year2" numFmtId="0">
      <sharedItems containsString="0" containsBlank="1" containsNumber="1" containsInteger="1" minValue="2020" maxValue="2024" count="6">
        <n v="2020"/>
        <n v="2021"/>
        <n v="2022"/>
        <n v="2023"/>
        <n v="2024"/>
        <m/>
      </sharedItems>
    </cacheField>
    <cacheField name="Months (Date)" numFmtId="0" databaseField="0">
      <fieldGroup base="0">
        <rangePr groupBy="months" startDate="2020-01-02T00:00:00" endDate="2024-02-10T00:00:00"/>
        <groupItems count="14">
          <s v="&lt;02/01/2020"/>
          <s v="Jan"/>
          <s v="Feb"/>
          <s v="Mar"/>
          <s v="Apr"/>
          <s v="May"/>
          <s v="Jun"/>
          <s v="Jul"/>
          <s v="Aug"/>
          <s v="Sep"/>
          <s v="Oct"/>
          <s v="Nov"/>
          <s v="Dec"/>
          <s v="&gt;10/02/2024"/>
        </groupItems>
      </fieldGroup>
    </cacheField>
    <cacheField name="Quarters (Date)" numFmtId="0" databaseField="0">
      <fieldGroup base="0">
        <rangePr groupBy="quarters" startDate="2020-01-02T00:00:00" endDate="2024-02-10T00:00:00"/>
        <groupItems count="6">
          <s v="&lt;02/01/2020"/>
          <s v="Qtr1"/>
          <s v="Qtr2"/>
          <s v="Qtr3"/>
          <s v="Qtr4"/>
          <s v="&gt;10/02/2024"/>
        </groupItems>
      </fieldGroup>
    </cacheField>
    <cacheField name="Years (Date)" numFmtId="0" databaseField="0">
      <fieldGroup base="0">
        <rangePr groupBy="years" startDate="2020-01-02T00:00:00" endDate="2024-02-10T00:00:00"/>
        <groupItems count="7">
          <s v="&lt;02/01/2020"/>
          <s v="2020"/>
          <s v="2021"/>
          <s v="2022"/>
          <s v="2023"/>
          <s v="2024"/>
          <s v="&gt;10/02/2024"/>
        </groupItems>
      </fieldGroup>
    </cacheField>
  </cacheFields>
  <extLst>
    <ext xmlns:x14="http://schemas.microsoft.com/office/spreadsheetml/2009/9/main" uri="{725AE2AE-9491-48be-B2B4-4EB974FC3084}">
      <x14:pivotCacheDefinition pivotCacheId="750704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x v="0"/>
    <s v="Score each."/>
    <s v="Food &amp; Drink"/>
    <n v="1485.69"/>
    <x v="0"/>
    <x v="0"/>
    <x v="0"/>
  </r>
  <r>
    <x v="1"/>
    <s v="Quality throughout."/>
    <s v="Utilities"/>
    <n v="1475.58"/>
    <x v="0"/>
    <x v="0"/>
    <x v="0"/>
  </r>
  <r>
    <x v="2"/>
    <s v="Instead ahead despite measure ago."/>
    <s v="Rent"/>
    <n v="1185.08"/>
    <x v="0"/>
    <x v="0"/>
    <x v="0"/>
  </r>
  <r>
    <x v="3"/>
    <s v="Information last everything thank serve."/>
    <s v="Investment"/>
    <n v="2291"/>
    <x v="1"/>
    <x v="0"/>
    <x v="0"/>
  </r>
  <r>
    <x v="4"/>
    <s v="Future choice whatever from."/>
    <s v="Food &amp; Drink"/>
    <n v="1126.8800000000001"/>
    <x v="0"/>
    <x v="0"/>
    <x v="0"/>
  </r>
  <r>
    <x v="5"/>
    <s v="Benefit suggest page southern."/>
    <s v="Shopping"/>
    <n v="448.68"/>
    <x v="0"/>
    <x v="0"/>
    <x v="0"/>
  </r>
  <r>
    <x v="6"/>
    <s v="By two bad fall pick."/>
    <s v="Food &amp; Drink"/>
    <n v="1520.03"/>
    <x v="0"/>
    <x v="0"/>
    <x v="0"/>
  </r>
  <r>
    <x v="7"/>
    <s v="Court attorney product significant world."/>
    <s v="Other"/>
    <n v="3287"/>
    <x v="1"/>
    <x v="0"/>
    <x v="0"/>
  </r>
  <r>
    <x v="8"/>
    <s v="Herself law."/>
    <s v="Entertainment"/>
    <n v="1914.85"/>
    <x v="0"/>
    <x v="0"/>
    <x v="0"/>
  </r>
  <r>
    <x v="9"/>
    <s v="Have decide environment."/>
    <s v="Rent"/>
    <n v="766.06"/>
    <x v="0"/>
    <x v="0"/>
    <x v="0"/>
  </r>
  <r>
    <x v="10"/>
    <s v="Play move each left establish."/>
    <s v="Health &amp; Fitness"/>
    <n v="1211.4100000000001"/>
    <x v="0"/>
    <x v="0"/>
    <x v="0"/>
  </r>
  <r>
    <x v="11"/>
    <s v="Range successful simply."/>
    <s v="Salary"/>
    <n v="1077.0899999999999"/>
    <x v="0"/>
    <x v="0"/>
    <x v="0"/>
  </r>
  <r>
    <x v="12"/>
    <s v="Source husband."/>
    <s v="Shopping"/>
    <n v="166.81"/>
    <x v="0"/>
    <x v="0"/>
    <x v="0"/>
  </r>
  <r>
    <x v="13"/>
    <s v="Tree note responsibility."/>
    <s v="Health &amp; Fitness"/>
    <n v="1158.93"/>
    <x v="0"/>
    <x v="0"/>
    <x v="0"/>
  </r>
  <r>
    <x v="14"/>
    <s v="How trip learn enter."/>
    <s v="Food &amp; Drink"/>
    <n v="1325.91"/>
    <x v="0"/>
    <x v="0"/>
    <x v="0"/>
  </r>
  <r>
    <x v="15"/>
    <s v="Much section investment on gun."/>
    <s v="Rent"/>
    <n v="1712.08"/>
    <x v="0"/>
    <x v="0"/>
    <x v="0"/>
  </r>
  <r>
    <x v="16"/>
    <s v="Management sense technology check civil."/>
    <s v="Shopping"/>
    <n v="563.16999999999996"/>
    <x v="0"/>
    <x v="0"/>
    <x v="0"/>
  </r>
  <r>
    <x v="17"/>
    <s v="As high you more wife."/>
    <s v="Health &amp; Fitness"/>
    <n v="333.68"/>
    <x v="0"/>
    <x v="0"/>
    <x v="0"/>
  </r>
  <r>
    <x v="18"/>
    <s v="Race mr."/>
    <s v="Travel"/>
    <n v="1406.62"/>
    <x v="0"/>
    <x v="0"/>
    <x v="0"/>
  </r>
  <r>
    <x v="19"/>
    <s v="Born itself law west."/>
    <s v="Rent"/>
    <n v="1222.17"/>
    <x v="0"/>
    <x v="0"/>
    <x v="0"/>
  </r>
  <r>
    <x v="20"/>
    <s v="Seven medical blood personal."/>
    <s v="Investment"/>
    <n v="1838"/>
    <x v="1"/>
    <x v="0"/>
    <x v="0"/>
  </r>
  <r>
    <x v="21"/>
    <s v="Current hear claim well two."/>
    <s v="Travel"/>
    <n v="1979.15"/>
    <x v="0"/>
    <x v="0"/>
    <x v="0"/>
  </r>
  <r>
    <x v="22"/>
    <s v="Food affect upon these story."/>
    <s v="Entertainment"/>
    <n v="1372.38"/>
    <x v="0"/>
    <x v="0"/>
    <x v="0"/>
  </r>
  <r>
    <x v="23"/>
    <s v="Around there water."/>
    <s v="Food &amp; Drink"/>
    <n v="465.81"/>
    <x v="0"/>
    <x v="0"/>
    <x v="0"/>
  </r>
  <r>
    <x v="24"/>
    <s v="Staff within mouth call."/>
    <s v="Other"/>
    <n v="3786"/>
    <x v="1"/>
    <x v="0"/>
    <x v="0"/>
  </r>
  <r>
    <x v="25"/>
    <s v="Close month parent who up."/>
    <s v="Entertainment"/>
    <n v="1827.14"/>
    <x v="0"/>
    <x v="0"/>
    <x v="0"/>
  </r>
  <r>
    <x v="26"/>
    <s v="Human public health."/>
    <s v="Health &amp; Fitness"/>
    <n v="433.13"/>
    <x v="0"/>
    <x v="0"/>
    <x v="0"/>
  </r>
  <r>
    <x v="27"/>
    <s v="Building different full open."/>
    <s v="Salary"/>
    <n v="294.31"/>
    <x v="0"/>
    <x v="0"/>
    <x v="0"/>
  </r>
  <r>
    <x v="28"/>
    <s v="Detail audience piece director town."/>
    <s v="Other"/>
    <n v="4009"/>
    <x v="1"/>
    <x v="0"/>
    <x v="0"/>
  </r>
  <r>
    <x v="29"/>
    <s v="Method everything."/>
    <s v="Shopping"/>
    <n v="730.37"/>
    <x v="0"/>
    <x v="0"/>
    <x v="0"/>
  </r>
  <r>
    <x v="30"/>
    <s v="Much rich think."/>
    <s v="Utilities"/>
    <n v="1023.96"/>
    <x v="0"/>
    <x v="0"/>
    <x v="0"/>
  </r>
  <r>
    <x v="31"/>
    <s v="Drug list imagine behind."/>
    <s v="Investment"/>
    <n v="1398"/>
    <x v="1"/>
    <x v="0"/>
    <x v="0"/>
  </r>
  <r>
    <x v="32"/>
    <s v="Interest level rock pull."/>
    <s v="Investment"/>
    <n v="3958"/>
    <x v="1"/>
    <x v="0"/>
    <x v="0"/>
  </r>
  <r>
    <x v="33"/>
    <s v="I fund."/>
    <s v="Shopping"/>
    <n v="769.42"/>
    <x v="0"/>
    <x v="0"/>
    <x v="0"/>
  </r>
  <r>
    <x v="34"/>
    <s v="Court movie cell."/>
    <s v="Travel"/>
    <n v="1942.45"/>
    <x v="0"/>
    <x v="0"/>
    <x v="0"/>
  </r>
  <r>
    <x v="35"/>
    <s v="Leg themselves away."/>
    <s v="Food &amp; Drink"/>
    <n v="1363.76"/>
    <x v="0"/>
    <x v="0"/>
    <x v="0"/>
  </r>
  <r>
    <x v="36"/>
    <s v="Anything yourself."/>
    <s v="Other"/>
    <n v="3286"/>
    <x v="1"/>
    <x v="0"/>
    <x v="0"/>
  </r>
  <r>
    <x v="37"/>
    <s v="Unit support."/>
    <s v="Other"/>
    <n v="1795"/>
    <x v="1"/>
    <x v="0"/>
    <x v="0"/>
  </r>
  <r>
    <x v="38"/>
    <s v="Magazine degree husband around."/>
    <s v="Travel"/>
    <n v="1944.06"/>
    <x v="0"/>
    <x v="0"/>
    <x v="0"/>
  </r>
  <r>
    <x v="39"/>
    <s v="World enter."/>
    <s v="Rent"/>
    <n v="1742.33"/>
    <x v="0"/>
    <x v="0"/>
    <x v="0"/>
  </r>
  <r>
    <x v="40"/>
    <s v="Institution whatever yet."/>
    <s v="Entertainment"/>
    <n v="314.14999999999998"/>
    <x v="0"/>
    <x v="0"/>
    <x v="0"/>
  </r>
  <r>
    <x v="41"/>
    <s v="Choice father why often."/>
    <s v="Food &amp; Drink"/>
    <n v="1201.9000000000001"/>
    <x v="0"/>
    <x v="0"/>
    <x v="0"/>
  </r>
  <r>
    <x v="42"/>
    <s v="Security arm."/>
    <s v="Rent"/>
    <n v="1858.91"/>
    <x v="0"/>
    <x v="0"/>
    <x v="0"/>
  </r>
  <r>
    <x v="43"/>
    <s v="Me system church whether."/>
    <s v="Travel"/>
    <n v="486.51"/>
    <x v="0"/>
    <x v="0"/>
    <x v="0"/>
  </r>
  <r>
    <x v="44"/>
    <s v="Attention attack technology."/>
    <s v="Rent"/>
    <n v="180.45"/>
    <x v="0"/>
    <x v="0"/>
    <x v="0"/>
  </r>
  <r>
    <x v="45"/>
    <s v="Walk now often."/>
    <s v="Rent"/>
    <n v="1956.19"/>
    <x v="0"/>
    <x v="0"/>
    <x v="0"/>
  </r>
  <r>
    <x v="46"/>
    <s v="Bank price north first end."/>
    <s v="Utilities"/>
    <n v="265.5"/>
    <x v="0"/>
    <x v="0"/>
    <x v="0"/>
  </r>
  <r>
    <x v="47"/>
    <s v="Enter capital population."/>
    <s v="Utilities"/>
    <n v="537.46"/>
    <x v="0"/>
    <x v="0"/>
    <x v="0"/>
  </r>
  <r>
    <x v="48"/>
    <s v="Upon very act perform."/>
    <s v="Shopping"/>
    <n v="1929.08"/>
    <x v="0"/>
    <x v="0"/>
    <x v="0"/>
  </r>
  <r>
    <x v="49"/>
    <s v="Available defense."/>
    <s v="Entertainment"/>
    <n v="1428.77"/>
    <x v="0"/>
    <x v="0"/>
    <x v="0"/>
  </r>
  <r>
    <x v="50"/>
    <s v="Value thing these."/>
    <s v="Health &amp; Fitness"/>
    <n v="881.82"/>
    <x v="0"/>
    <x v="0"/>
    <x v="0"/>
  </r>
  <r>
    <x v="51"/>
    <s v="Citizen street region."/>
    <s v="Rent"/>
    <n v="503.33"/>
    <x v="0"/>
    <x v="0"/>
    <x v="0"/>
  </r>
  <r>
    <x v="52"/>
    <s v="Property never."/>
    <s v="Investment"/>
    <n v="2385"/>
    <x v="1"/>
    <x v="0"/>
    <x v="0"/>
  </r>
  <r>
    <x v="53"/>
    <s v="Enough threat score."/>
    <s v="Food &amp; Drink"/>
    <n v="151.28"/>
    <x v="0"/>
    <x v="0"/>
    <x v="0"/>
  </r>
  <r>
    <x v="54"/>
    <s v="Example decision garden."/>
    <s v="Entertainment"/>
    <n v="144.13"/>
    <x v="0"/>
    <x v="0"/>
    <x v="0"/>
  </r>
  <r>
    <x v="55"/>
    <s v="Major town suffer begin."/>
    <s v="Other"/>
    <n v="1080"/>
    <x v="1"/>
    <x v="0"/>
    <x v="0"/>
  </r>
  <r>
    <x v="56"/>
    <s v="Analysis four capital."/>
    <s v="Travel"/>
    <n v="1341.27"/>
    <x v="0"/>
    <x v="0"/>
    <x v="0"/>
  </r>
  <r>
    <x v="57"/>
    <s v="Scientist necessary into."/>
    <s v="Utilities"/>
    <n v="1449.47"/>
    <x v="0"/>
    <x v="0"/>
    <x v="0"/>
  </r>
  <r>
    <x v="58"/>
    <s v="Away third."/>
    <s v="Salary"/>
    <n v="493.56"/>
    <x v="0"/>
    <x v="0"/>
    <x v="0"/>
  </r>
  <r>
    <x v="59"/>
    <s v="Along hard need involve among."/>
    <s v="Shopping"/>
    <n v="388.92"/>
    <x v="0"/>
    <x v="0"/>
    <x v="0"/>
  </r>
  <r>
    <x v="60"/>
    <s v="Together decide."/>
    <s v="Other"/>
    <n v="3402"/>
    <x v="1"/>
    <x v="0"/>
    <x v="0"/>
  </r>
  <r>
    <x v="61"/>
    <s v="Government nice."/>
    <s v="Salary"/>
    <n v="1729.04"/>
    <x v="0"/>
    <x v="0"/>
    <x v="0"/>
  </r>
  <r>
    <x v="62"/>
    <s v="See understand door class son."/>
    <s v="Investment"/>
    <n v="996"/>
    <x v="1"/>
    <x v="0"/>
    <x v="0"/>
  </r>
  <r>
    <x v="63"/>
    <s v="Agent say forward us."/>
    <s v="Health &amp; Fitness"/>
    <n v="1603.18"/>
    <x v="0"/>
    <x v="0"/>
    <x v="0"/>
  </r>
  <r>
    <x v="64"/>
    <s v="City red him."/>
    <s v="Investment"/>
    <n v="2058"/>
    <x v="1"/>
    <x v="0"/>
    <x v="0"/>
  </r>
  <r>
    <x v="65"/>
    <s v="Develop staff least figure."/>
    <s v="Utilities"/>
    <n v="849.54"/>
    <x v="0"/>
    <x v="0"/>
    <x v="0"/>
  </r>
  <r>
    <x v="66"/>
    <s v="Age cover foreign."/>
    <s v="Entertainment"/>
    <n v="1750.23"/>
    <x v="0"/>
    <x v="0"/>
    <x v="0"/>
  </r>
  <r>
    <x v="67"/>
    <s v="Go meeting quickly."/>
    <s v="Investment"/>
    <n v="914"/>
    <x v="1"/>
    <x v="0"/>
    <x v="0"/>
  </r>
  <r>
    <x v="68"/>
    <s v="Voice boy wife condition."/>
    <s v="Food &amp; Drink"/>
    <n v="1938.3"/>
    <x v="0"/>
    <x v="0"/>
    <x v="0"/>
  </r>
  <r>
    <x v="69"/>
    <s v="Board its."/>
    <s v="Entertainment"/>
    <n v="340.96"/>
    <x v="0"/>
    <x v="0"/>
    <x v="0"/>
  </r>
  <r>
    <x v="70"/>
    <s v="Paper memory history office."/>
    <s v="Entertainment"/>
    <n v="1730.65"/>
    <x v="0"/>
    <x v="0"/>
    <x v="0"/>
  </r>
  <r>
    <x v="71"/>
    <s v="Remember ability."/>
    <s v="Utilities"/>
    <n v="764.16"/>
    <x v="0"/>
    <x v="0"/>
    <x v="0"/>
  </r>
  <r>
    <x v="72"/>
    <s v="Hair attorney professional."/>
    <s v="Travel"/>
    <n v="1853.77"/>
    <x v="0"/>
    <x v="0"/>
    <x v="0"/>
  </r>
  <r>
    <x v="73"/>
    <s v="Finish summer rest feel finally."/>
    <s v="Travel"/>
    <n v="851.78"/>
    <x v="0"/>
    <x v="0"/>
    <x v="0"/>
  </r>
  <r>
    <x v="74"/>
    <s v="I fast camera inside."/>
    <s v="Salary"/>
    <n v="318.05"/>
    <x v="0"/>
    <x v="0"/>
    <x v="0"/>
  </r>
  <r>
    <x v="75"/>
    <s v="Past feeling nature."/>
    <s v="Food &amp; Drink"/>
    <n v="1162.57"/>
    <x v="0"/>
    <x v="0"/>
    <x v="0"/>
  </r>
  <r>
    <x v="76"/>
    <s v="Expert involve oil."/>
    <s v="Health &amp; Fitness"/>
    <n v="123.76"/>
    <x v="0"/>
    <x v="0"/>
    <x v="0"/>
  </r>
  <r>
    <x v="77"/>
    <s v="Kid put memory soldier."/>
    <s v="Utilities"/>
    <n v="123.19"/>
    <x v="0"/>
    <x v="0"/>
    <x v="0"/>
  </r>
  <r>
    <x v="78"/>
    <s v="Exist professional."/>
    <s v="Utilities"/>
    <n v="146.36000000000001"/>
    <x v="0"/>
    <x v="0"/>
    <x v="0"/>
  </r>
  <r>
    <x v="79"/>
    <s v="Stand seem."/>
    <s v="Investment"/>
    <n v="3807"/>
    <x v="1"/>
    <x v="0"/>
    <x v="0"/>
  </r>
  <r>
    <x v="80"/>
    <s v="Southern challenge animal."/>
    <s v="Investment"/>
    <n v="825"/>
    <x v="1"/>
    <x v="0"/>
    <x v="0"/>
  </r>
  <r>
    <x v="81"/>
    <s v="Sure authority increase picture create."/>
    <s v="Shopping"/>
    <n v="1318.17"/>
    <x v="0"/>
    <x v="0"/>
    <x v="0"/>
  </r>
  <r>
    <x v="82"/>
    <s v="Hundred challenge reach throughout."/>
    <s v="Health &amp; Fitness"/>
    <n v="1870.07"/>
    <x v="0"/>
    <x v="0"/>
    <x v="0"/>
  </r>
  <r>
    <x v="83"/>
    <s v="Despite sound receive let."/>
    <s v="Health &amp; Fitness"/>
    <n v="484.99"/>
    <x v="0"/>
    <x v="0"/>
    <x v="0"/>
  </r>
  <r>
    <x v="84"/>
    <s v="True building card."/>
    <s v="Travel"/>
    <n v="919.88"/>
    <x v="0"/>
    <x v="0"/>
    <x v="0"/>
  </r>
  <r>
    <x v="85"/>
    <s v="Write other wear through partner."/>
    <s v="Rent"/>
    <n v="28.54"/>
    <x v="0"/>
    <x v="0"/>
    <x v="0"/>
  </r>
  <r>
    <x v="86"/>
    <s v="Store natural today season."/>
    <s v="Rent"/>
    <n v="155.79"/>
    <x v="0"/>
    <x v="0"/>
    <x v="0"/>
  </r>
  <r>
    <x v="87"/>
    <s v="Else easy point she."/>
    <s v="Travel"/>
    <n v="273.58999999999997"/>
    <x v="0"/>
    <x v="0"/>
    <x v="0"/>
  </r>
  <r>
    <x v="88"/>
    <s v="Phone ever back experience."/>
    <s v="Rent"/>
    <n v="1759.75"/>
    <x v="0"/>
    <x v="0"/>
    <x v="0"/>
  </r>
  <r>
    <x v="89"/>
    <s v="Floor music catch discuss."/>
    <s v="Utilities"/>
    <n v="881.99"/>
    <x v="0"/>
    <x v="0"/>
    <x v="0"/>
  </r>
  <r>
    <x v="90"/>
    <s v="Ask imagine my."/>
    <s v="Travel"/>
    <n v="1227.24"/>
    <x v="0"/>
    <x v="0"/>
    <x v="0"/>
  </r>
  <r>
    <x v="91"/>
    <s v="Deal information."/>
    <s v="Food &amp; Drink"/>
    <n v="1339.05"/>
    <x v="0"/>
    <x v="0"/>
    <x v="0"/>
  </r>
  <r>
    <x v="92"/>
    <s v="Task she."/>
    <s v="Rent"/>
    <n v="1878.47"/>
    <x v="0"/>
    <x v="0"/>
    <x v="0"/>
  </r>
  <r>
    <x v="93"/>
    <s v="Accept goal send table."/>
    <s v="Investment"/>
    <n v="1376"/>
    <x v="1"/>
    <x v="0"/>
    <x v="0"/>
  </r>
  <r>
    <x v="94"/>
    <s v="Section national owner determine detail."/>
    <s v="Utilities"/>
    <n v="551.97"/>
    <x v="0"/>
    <x v="0"/>
    <x v="0"/>
  </r>
  <r>
    <x v="95"/>
    <s v="Ahead from quickly identify."/>
    <s v="Health &amp; Fitness"/>
    <n v="415.16"/>
    <x v="0"/>
    <x v="0"/>
    <x v="0"/>
  </r>
  <r>
    <x v="96"/>
    <s v="Try wonder move trade."/>
    <s v="Travel"/>
    <n v="1015.76"/>
    <x v="0"/>
    <x v="0"/>
    <x v="0"/>
  </r>
  <r>
    <x v="97"/>
    <s v="Base investment."/>
    <s v="Food &amp; Drink"/>
    <n v="193.67"/>
    <x v="0"/>
    <x v="0"/>
    <x v="0"/>
  </r>
  <r>
    <x v="98"/>
    <s v="Anyone here deep."/>
    <s v="Travel"/>
    <n v="97.73"/>
    <x v="0"/>
    <x v="0"/>
    <x v="0"/>
  </r>
  <r>
    <x v="99"/>
    <s v="Seven here sell story."/>
    <s v="Utilities"/>
    <n v="1277.8599999999999"/>
    <x v="0"/>
    <x v="0"/>
    <x v="0"/>
  </r>
  <r>
    <x v="100"/>
    <s v="Like see."/>
    <s v="Salary"/>
    <n v="1107.8399999999999"/>
    <x v="0"/>
    <x v="0"/>
    <x v="0"/>
  </r>
  <r>
    <x v="101"/>
    <s v="Difference attention whatever american."/>
    <s v="Food &amp; Drink"/>
    <n v="232.63"/>
    <x v="0"/>
    <x v="0"/>
    <x v="0"/>
  </r>
  <r>
    <x v="102"/>
    <s v="Current after charge."/>
    <s v="Utilities"/>
    <n v="1095.72"/>
    <x v="0"/>
    <x v="0"/>
    <x v="0"/>
  </r>
  <r>
    <x v="103"/>
    <s v="Prove nor design record."/>
    <s v="Utilities"/>
    <n v="865.28"/>
    <x v="0"/>
    <x v="0"/>
    <x v="0"/>
  </r>
  <r>
    <x v="104"/>
    <s v="Paper white responsibility."/>
    <s v="Other"/>
    <n v="826"/>
    <x v="1"/>
    <x v="0"/>
    <x v="0"/>
  </r>
  <r>
    <x v="105"/>
    <s v="Blue agent find."/>
    <s v="Entertainment"/>
    <n v="1367.31"/>
    <x v="0"/>
    <x v="0"/>
    <x v="0"/>
  </r>
  <r>
    <x v="106"/>
    <s v="Walk cup option store."/>
    <s v="Health &amp; Fitness"/>
    <n v="1562.43"/>
    <x v="0"/>
    <x v="0"/>
    <x v="0"/>
  </r>
  <r>
    <x v="107"/>
    <s v="Recent feeling."/>
    <s v="Shopping"/>
    <n v="1947.94"/>
    <x v="0"/>
    <x v="0"/>
    <x v="0"/>
  </r>
  <r>
    <x v="108"/>
    <s v="Site girl into have media."/>
    <s v="Entertainment"/>
    <n v="1730.57"/>
    <x v="0"/>
    <x v="0"/>
    <x v="0"/>
  </r>
  <r>
    <x v="109"/>
    <s v="Support state."/>
    <s v="Utilities"/>
    <n v="1764.02"/>
    <x v="0"/>
    <x v="0"/>
    <x v="0"/>
  </r>
  <r>
    <x v="110"/>
    <s v="Whether player stock religious."/>
    <s v="Other"/>
    <n v="3872"/>
    <x v="1"/>
    <x v="0"/>
    <x v="0"/>
  </r>
  <r>
    <x v="111"/>
    <s v="Safe whole establish."/>
    <s v="Entertainment"/>
    <n v="540.94000000000005"/>
    <x v="0"/>
    <x v="0"/>
    <x v="0"/>
  </r>
  <r>
    <x v="112"/>
    <s v="Let stay or focus."/>
    <s v="Rent"/>
    <n v="771.26"/>
    <x v="0"/>
    <x v="0"/>
    <x v="0"/>
  </r>
  <r>
    <x v="113"/>
    <s v="Everything late."/>
    <s v="Other"/>
    <n v="2322"/>
    <x v="1"/>
    <x v="0"/>
    <x v="0"/>
  </r>
  <r>
    <x v="114"/>
    <s v="Particular her agreement surface consider."/>
    <s v="Other"/>
    <n v="3364"/>
    <x v="1"/>
    <x v="0"/>
    <x v="0"/>
  </r>
  <r>
    <x v="115"/>
    <s v="Something future they red."/>
    <s v="Entertainment"/>
    <n v="453.62"/>
    <x v="0"/>
    <x v="0"/>
    <x v="0"/>
  </r>
  <r>
    <x v="116"/>
    <s v="Act way beat result major."/>
    <s v="Shopping"/>
    <n v="663.24"/>
    <x v="0"/>
    <x v="0"/>
    <x v="0"/>
  </r>
  <r>
    <x v="117"/>
    <s v="Position make society behavior."/>
    <s v="Travel"/>
    <n v="708.78"/>
    <x v="0"/>
    <x v="0"/>
    <x v="0"/>
  </r>
  <r>
    <x v="118"/>
    <s v="Reality fill ok list."/>
    <s v="Health &amp; Fitness"/>
    <n v="1879.08"/>
    <x v="0"/>
    <x v="0"/>
    <x v="0"/>
  </r>
  <r>
    <x v="119"/>
    <s v="International second former reflect."/>
    <s v="Other"/>
    <n v="1962"/>
    <x v="1"/>
    <x v="0"/>
    <x v="0"/>
  </r>
  <r>
    <x v="120"/>
    <s v="Edge building court."/>
    <s v="Travel"/>
    <n v="86.13"/>
    <x v="0"/>
    <x v="0"/>
    <x v="0"/>
  </r>
  <r>
    <x v="121"/>
    <s v="Week real course school everybody."/>
    <s v="Health &amp; Fitness"/>
    <n v="1459.8"/>
    <x v="0"/>
    <x v="0"/>
    <x v="0"/>
  </r>
  <r>
    <x v="122"/>
    <s v="Executive beyond create dinner conference."/>
    <s v="Rent"/>
    <n v="776.54"/>
    <x v="0"/>
    <x v="0"/>
    <x v="0"/>
  </r>
  <r>
    <x v="123"/>
    <s v="Call animal approach factor want."/>
    <s v="Travel"/>
    <n v="98.33"/>
    <x v="0"/>
    <x v="0"/>
    <x v="0"/>
  </r>
  <r>
    <x v="124"/>
    <s v="Their off."/>
    <s v="Entertainment"/>
    <n v="734.8"/>
    <x v="0"/>
    <x v="0"/>
    <x v="0"/>
  </r>
  <r>
    <x v="125"/>
    <s v="Key continue anything wait."/>
    <s v="Other"/>
    <n v="3071"/>
    <x v="1"/>
    <x v="0"/>
    <x v="0"/>
  </r>
  <r>
    <x v="126"/>
    <s v="State husband."/>
    <s v="Rent"/>
    <n v="1442.31"/>
    <x v="0"/>
    <x v="0"/>
    <x v="0"/>
  </r>
  <r>
    <x v="127"/>
    <s v="Picture approach chance none fight."/>
    <s v="Travel"/>
    <n v="1337.12"/>
    <x v="0"/>
    <x v="0"/>
    <x v="0"/>
  </r>
  <r>
    <x v="128"/>
    <s v="Newspaper indicate other."/>
    <s v="Travel"/>
    <n v="1113.28"/>
    <x v="0"/>
    <x v="0"/>
    <x v="0"/>
  </r>
  <r>
    <x v="129"/>
    <s v="Herself training father open investment."/>
    <s v="Other"/>
    <n v="1925"/>
    <x v="1"/>
    <x v="0"/>
    <x v="0"/>
  </r>
  <r>
    <x v="130"/>
    <s v="Art whether between several personal."/>
    <s v="Travel"/>
    <n v="818.09"/>
    <x v="0"/>
    <x v="0"/>
    <x v="0"/>
  </r>
  <r>
    <x v="131"/>
    <s v="Church community."/>
    <s v="Travel"/>
    <n v="580.96"/>
    <x v="0"/>
    <x v="0"/>
    <x v="0"/>
  </r>
  <r>
    <x v="132"/>
    <s v="Able late order."/>
    <s v="Health &amp; Fitness"/>
    <n v="935.33"/>
    <x v="0"/>
    <x v="0"/>
    <x v="0"/>
  </r>
  <r>
    <x v="133"/>
    <s v="Discuss religious."/>
    <s v="Entertainment"/>
    <n v="1027.24"/>
    <x v="0"/>
    <x v="0"/>
    <x v="0"/>
  </r>
  <r>
    <x v="134"/>
    <s v="Reach under."/>
    <s v="Utilities"/>
    <n v="1321.11"/>
    <x v="0"/>
    <x v="0"/>
    <x v="0"/>
  </r>
  <r>
    <x v="135"/>
    <s v="Boy different chance enter."/>
    <s v="Health &amp; Fitness"/>
    <n v="195.84"/>
    <x v="0"/>
    <x v="0"/>
    <x v="0"/>
  </r>
  <r>
    <x v="136"/>
    <s v="Arrive society."/>
    <s v="Entertainment"/>
    <n v="1348.86"/>
    <x v="0"/>
    <x v="0"/>
    <x v="0"/>
  </r>
  <r>
    <x v="137"/>
    <s v="Keep light fight."/>
    <s v="Entertainment"/>
    <n v="303.23"/>
    <x v="0"/>
    <x v="0"/>
    <x v="0"/>
  </r>
  <r>
    <x v="138"/>
    <s v="Matter management ball."/>
    <s v="Other"/>
    <n v="1096"/>
    <x v="1"/>
    <x v="0"/>
    <x v="0"/>
  </r>
  <r>
    <x v="139"/>
    <s v="Same page ago director."/>
    <s v="Entertainment"/>
    <n v="1439.51"/>
    <x v="0"/>
    <x v="0"/>
    <x v="0"/>
  </r>
  <r>
    <x v="140"/>
    <s v="Week yourself public especially american."/>
    <s v="Shopping"/>
    <n v="495.53"/>
    <x v="0"/>
    <x v="0"/>
    <x v="0"/>
  </r>
  <r>
    <x v="141"/>
    <s v="Million kind everything young."/>
    <s v="Food &amp; Drink"/>
    <n v="1786.39"/>
    <x v="0"/>
    <x v="0"/>
    <x v="0"/>
  </r>
  <r>
    <x v="142"/>
    <s v="Why like impact fly."/>
    <s v="Rent"/>
    <n v="1559.06"/>
    <x v="0"/>
    <x v="0"/>
    <x v="0"/>
  </r>
  <r>
    <x v="143"/>
    <s v="Form really explain."/>
    <s v="Salary"/>
    <n v="109.93"/>
    <x v="0"/>
    <x v="0"/>
    <x v="0"/>
  </r>
  <r>
    <x v="144"/>
    <s v="Already because education break significant."/>
    <s v="Rent"/>
    <n v="918.36"/>
    <x v="0"/>
    <x v="0"/>
    <x v="0"/>
  </r>
  <r>
    <x v="145"/>
    <s v="Price my."/>
    <s v="Health &amp; Fitness"/>
    <n v="1900.58"/>
    <x v="0"/>
    <x v="0"/>
    <x v="0"/>
  </r>
  <r>
    <x v="146"/>
    <s v="Could gun."/>
    <s v="Shopping"/>
    <n v="1662.83"/>
    <x v="0"/>
    <x v="0"/>
    <x v="0"/>
  </r>
  <r>
    <x v="147"/>
    <s v="Kind appear environment capital explain."/>
    <s v="Utilities"/>
    <n v="1489.87"/>
    <x v="0"/>
    <x v="0"/>
    <x v="0"/>
  </r>
  <r>
    <x v="148"/>
    <s v="Ahead picture son."/>
    <s v="Travel"/>
    <n v="1506.04"/>
    <x v="0"/>
    <x v="0"/>
    <x v="0"/>
  </r>
  <r>
    <x v="149"/>
    <s v="Nearly need behavior."/>
    <s v="Travel"/>
    <n v="1533.97"/>
    <x v="0"/>
    <x v="0"/>
    <x v="0"/>
  </r>
  <r>
    <x v="150"/>
    <s v="Water positive child usually."/>
    <s v="Entertainment"/>
    <n v="556.45000000000005"/>
    <x v="0"/>
    <x v="0"/>
    <x v="0"/>
  </r>
  <r>
    <x v="151"/>
    <s v="Relate indeed lot line lead."/>
    <s v="Other"/>
    <n v="2420"/>
    <x v="1"/>
    <x v="0"/>
    <x v="0"/>
  </r>
  <r>
    <x v="152"/>
    <s v="Course out second carry."/>
    <s v="Health &amp; Fitness"/>
    <n v="1787.12"/>
    <x v="0"/>
    <x v="0"/>
    <x v="0"/>
  </r>
  <r>
    <x v="153"/>
    <s v="Significant take future."/>
    <s v="Investment"/>
    <n v="2394"/>
    <x v="1"/>
    <x v="0"/>
    <x v="0"/>
  </r>
  <r>
    <x v="154"/>
    <s v="Star executive fear."/>
    <s v="Utilities"/>
    <n v="1415.77"/>
    <x v="0"/>
    <x v="0"/>
    <x v="0"/>
  </r>
  <r>
    <x v="155"/>
    <s v="Your majority chance mrs generation."/>
    <s v="Other"/>
    <n v="3210"/>
    <x v="1"/>
    <x v="0"/>
    <x v="0"/>
  </r>
  <r>
    <x v="156"/>
    <s v="Help usually thank wonder draw."/>
    <s v="Shopping"/>
    <n v="133.91"/>
    <x v="0"/>
    <x v="0"/>
    <x v="0"/>
  </r>
  <r>
    <x v="157"/>
    <s v="Task improve fish."/>
    <s v="Shopping"/>
    <n v="1810.63"/>
    <x v="0"/>
    <x v="0"/>
    <x v="0"/>
  </r>
  <r>
    <x v="158"/>
    <s v="History professional star wonder."/>
    <s v="Food &amp; Drink"/>
    <n v="1714.9"/>
    <x v="0"/>
    <x v="0"/>
    <x v="0"/>
  </r>
  <r>
    <x v="159"/>
    <s v="Call whole."/>
    <s v="Shopping"/>
    <n v="959.19"/>
    <x v="0"/>
    <x v="0"/>
    <x v="0"/>
  </r>
  <r>
    <x v="160"/>
    <s v="Them key."/>
    <s v="Travel"/>
    <n v="1509.42"/>
    <x v="0"/>
    <x v="0"/>
    <x v="0"/>
  </r>
  <r>
    <x v="161"/>
    <s v="Address century that wide."/>
    <s v="Shopping"/>
    <n v="1081.06"/>
    <x v="0"/>
    <x v="0"/>
    <x v="0"/>
  </r>
  <r>
    <x v="162"/>
    <s v="Sit enter perhaps however."/>
    <s v="Entertainment"/>
    <n v="981.58"/>
    <x v="0"/>
    <x v="0"/>
    <x v="0"/>
  </r>
  <r>
    <x v="163"/>
    <s v="System teacher here first."/>
    <s v="Salary"/>
    <n v="67.760000000000005"/>
    <x v="0"/>
    <x v="0"/>
    <x v="0"/>
  </r>
  <r>
    <x v="164"/>
    <s v="Along attention piece tv young."/>
    <s v="Shopping"/>
    <n v="1451.12"/>
    <x v="0"/>
    <x v="0"/>
    <x v="0"/>
  </r>
  <r>
    <x v="165"/>
    <s v="Within set region beyond."/>
    <s v="Utilities"/>
    <n v="1961.64"/>
    <x v="0"/>
    <x v="0"/>
    <x v="0"/>
  </r>
  <r>
    <x v="166"/>
    <s v="Tough animal someone."/>
    <s v="Shopping"/>
    <n v="1187.8699999999999"/>
    <x v="0"/>
    <x v="0"/>
    <x v="0"/>
  </r>
  <r>
    <x v="167"/>
    <s v="Hear certainly most not."/>
    <s v="Rent"/>
    <n v="1289.07"/>
    <x v="0"/>
    <x v="0"/>
    <x v="0"/>
  </r>
  <r>
    <x v="168"/>
    <s v="Company participant him."/>
    <s v="Other"/>
    <n v="1988"/>
    <x v="1"/>
    <x v="0"/>
    <x v="0"/>
  </r>
  <r>
    <x v="169"/>
    <s v="Tree central leave effect."/>
    <s v="Other"/>
    <n v="3181"/>
    <x v="1"/>
    <x v="0"/>
    <x v="0"/>
  </r>
  <r>
    <x v="170"/>
    <s v="Together let."/>
    <s v="Health &amp; Fitness"/>
    <n v="681.63"/>
    <x v="0"/>
    <x v="0"/>
    <x v="0"/>
  </r>
  <r>
    <x v="171"/>
    <s v="Citizen kid generation onto police."/>
    <s v="Travel"/>
    <n v="1506.5"/>
    <x v="0"/>
    <x v="0"/>
    <x v="0"/>
  </r>
  <r>
    <x v="172"/>
    <s v="Lead few yourself."/>
    <s v="Travel"/>
    <n v="1671.47"/>
    <x v="0"/>
    <x v="0"/>
    <x v="0"/>
  </r>
  <r>
    <x v="173"/>
    <s v="Down occur."/>
    <s v="Food &amp; Drink"/>
    <n v="1999.82"/>
    <x v="0"/>
    <x v="0"/>
    <x v="0"/>
  </r>
  <r>
    <x v="174"/>
    <s v="Yeah far within."/>
    <s v="Rent"/>
    <n v="1564.65"/>
    <x v="0"/>
    <x v="0"/>
    <x v="0"/>
  </r>
  <r>
    <x v="175"/>
    <s v="Account ten sing."/>
    <s v="Food &amp; Drink"/>
    <n v="1899.73"/>
    <x v="0"/>
    <x v="0"/>
    <x v="0"/>
  </r>
  <r>
    <x v="176"/>
    <s v="Seat strategy total simply discover."/>
    <s v="Investment"/>
    <n v="1748"/>
    <x v="1"/>
    <x v="0"/>
    <x v="0"/>
  </r>
  <r>
    <x v="177"/>
    <s v="Pm per question."/>
    <s v="Salary"/>
    <n v="1342.22"/>
    <x v="0"/>
    <x v="0"/>
    <x v="0"/>
  </r>
  <r>
    <x v="178"/>
    <s v="Best physical always small almost."/>
    <s v="Entertainment"/>
    <n v="935.42"/>
    <x v="0"/>
    <x v="0"/>
    <x v="0"/>
  </r>
  <r>
    <x v="179"/>
    <s v="Bed far section."/>
    <s v="Health &amp; Fitness"/>
    <n v="343.9"/>
    <x v="0"/>
    <x v="0"/>
    <x v="0"/>
  </r>
  <r>
    <x v="180"/>
    <s v="Car much will."/>
    <s v="Rent"/>
    <n v="1557.81"/>
    <x v="0"/>
    <x v="0"/>
    <x v="0"/>
  </r>
  <r>
    <x v="181"/>
    <s v="Tree store either station."/>
    <s v="Other"/>
    <n v="1385"/>
    <x v="1"/>
    <x v="0"/>
    <x v="0"/>
  </r>
  <r>
    <x v="182"/>
    <s v="Second full boy."/>
    <s v="Travel"/>
    <n v="1155.8399999999999"/>
    <x v="0"/>
    <x v="0"/>
    <x v="0"/>
  </r>
  <r>
    <x v="183"/>
    <s v="Senior difficult put."/>
    <s v="Shopping"/>
    <n v="799.34"/>
    <x v="0"/>
    <x v="0"/>
    <x v="0"/>
  </r>
  <r>
    <x v="184"/>
    <s v="Hand so add mr lawyer."/>
    <s v="Rent"/>
    <n v="1188.27"/>
    <x v="0"/>
    <x v="0"/>
    <x v="0"/>
  </r>
  <r>
    <x v="185"/>
    <s v="Herself police he push likely."/>
    <s v="Entertainment"/>
    <n v="212.78"/>
    <x v="0"/>
    <x v="0"/>
    <x v="0"/>
  </r>
  <r>
    <x v="186"/>
    <s v="Trip determine as statement."/>
    <s v="Rent"/>
    <n v="1594.49"/>
    <x v="0"/>
    <x v="0"/>
    <x v="0"/>
  </r>
  <r>
    <x v="187"/>
    <s v="Bring animal also you."/>
    <s v="Food &amp; Drink"/>
    <n v="700.94"/>
    <x v="0"/>
    <x v="0"/>
    <x v="0"/>
  </r>
  <r>
    <x v="188"/>
    <s v="Doctor mr."/>
    <s v="Health &amp; Fitness"/>
    <n v="147.22"/>
    <x v="0"/>
    <x v="0"/>
    <x v="0"/>
  </r>
  <r>
    <x v="189"/>
    <s v="He we recent music."/>
    <s v="Food &amp; Drink"/>
    <n v="1700.66"/>
    <x v="0"/>
    <x v="0"/>
    <x v="0"/>
  </r>
  <r>
    <x v="190"/>
    <s v="Those pressure street."/>
    <s v="Rent"/>
    <n v="872.71"/>
    <x v="0"/>
    <x v="0"/>
    <x v="0"/>
  </r>
  <r>
    <x v="191"/>
    <s v="Allow have kitchen."/>
    <s v="Salary"/>
    <n v="1417.54"/>
    <x v="0"/>
    <x v="0"/>
    <x v="0"/>
  </r>
  <r>
    <x v="192"/>
    <s v="Between rate name within."/>
    <s v="Travel"/>
    <n v="1235.67"/>
    <x v="0"/>
    <x v="0"/>
    <x v="0"/>
  </r>
  <r>
    <x v="193"/>
    <s v="Huge couple."/>
    <s v="Salary"/>
    <n v="935.1"/>
    <x v="0"/>
    <x v="0"/>
    <x v="0"/>
  </r>
  <r>
    <x v="194"/>
    <s v="Begin deep police wife."/>
    <s v="Travel"/>
    <n v="651.39"/>
    <x v="0"/>
    <x v="0"/>
    <x v="0"/>
  </r>
  <r>
    <x v="195"/>
    <s v="During call north attention."/>
    <s v="Rent"/>
    <n v="565.07000000000005"/>
    <x v="0"/>
    <x v="0"/>
    <x v="0"/>
  </r>
  <r>
    <x v="196"/>
    <s v="Only spend do."/>
    <s v="Salary"/>
    <n v="1144"/>
    <x v="0"/>
    <x v="0"/>
    <x v="0"/>
  </r>
  <r>
    <x v="197"/>
    <s v="Able teach certain candidate economy."/>
    <s v="Health &amp; Fitness"/>
    <n v="67.11"/>
    <x v="0"/>
    <x v="0"/>
    <x v="0"/>
  </r>
  <r>
    <x v="198"/>
    <s v="Produce ago."/>
    <s v="Utilities"/>
    <n v="980.22"/>
    <x v="0"/>
    <x v="0"/>
    <x v="0"/>
  </r>
  <r>
    <x v="199"/>
    <s v="So draw food company."/>
    <s v="Travel"/>
    <n v="687.27"/>
    <x v="0"/>
    <x v="0"/>
    <x v="0"/>
  </r>
  <r>
    <x v="200"/>
    <s v="Score moment second."/>
    <s v="Travel"/>
    <n v="1116.02"/>
    <x v="0"/>
    <x v="0"/>
    <x v="0"/>
  </r>
  <r>
    <x v="201"/>
    <s v="Sing message board mean."/>
    <s v="Entertainment"/>
    <n v="180.37"/>
    <x v="0"/>
    <x v="0"/>
    <x v="0"/>
  </r>
  <r>
    <x v="202"/>
    <s v="Feeling poor all your suggest."/>
    <s v="Salary"/>
    <n v="1114.8"/>
    <x v="0"/>
    <x v="0"/>
    <x v="0"/>
  </r>
  <r>
    <x v="203"/>
    <s v="Make travel."/>
    <s v="Salary"/>
    <n v="1295.3499999999999"/>
    <x v="0"/>
    <x v="0"/>
    <x v="0"/>
  </r>
  <r>
    <x v="204"/>
    <s v="Focus chance."/>
    <s v="Food &amp; Drink"/>
    <n v="195.18"/>
    <x v="0"/>
    <x v="0"/>
    <x v="0"/>
  </r>
  <r>
    <x v="205"/>
    <s v="Person one republican."/>
    <s v="Entertainment"/>
    <n v="619.35"/>
    <x v="0"/>
    <x v="0"/>
    <x v="0"/>
  </r>
  <r>
    <x v="206"/>
    <s v="Most law painting between reduce."/>
    <s v="Salary"/>
    <n v="1111.4100000000001"/>
    <x v="0"/>
    <x v="0"/>
    <x v="0"/>
  </r>
  <r>
    <x v="207"/>
    <s v="Involve thousand including."/>
    <s v="Health &amp; Fitness"/>
    <n v="710.1"/>
    <x v="0"/>
    <x v="0"/>
    <x v="0"/>
  </r>
  <r>
    <x v="208"/>
    <s v="Indeed believe interview professor."/>
    <s v="Travel"/>
    <n v="510.29"/>
    <x v="0"/>
    <x v="0"/>
    <x v="0"/>
  </r>
  <r>
    <x v="209"/>
    <s v="Rather listen before."/>
    <s v="Investment"/>
    <n v="3084"/>
    <x v="1"/>
    <x v="0"/>
    <x v="0"/>
  </r>
  <r>
    <x v="210"/>
    <s v="It season."/>
    <s v="Investment"/>
    <n v="2069"/>
    <x v="1"/>
    <x v="0"/>
    <x v="0"/>
  </r>
  <r>
    <x v="211"/>
    <s v="News only no."/>
    <s v="Salary"/>
    <n v="560.23"/>
    <x v="0"/>
    <x v="0"/>
    <x v="0"/>
  </r>
  <r>
    <x v="212"/>
    <s v="Improve them wait."/>
    <s v="Travel"/>
    <n v="1961.22"/>
    <x v="0"/>
    <x v="0"/>
    <x v="0"/>
  </r>
  <r>
    <x v="213"/>
    <s v="Why outside."/>
    <s v="Travel"/>
    <n v="462.69"/>
    <x v="0"/>
    <x v="0"/>
    <x v="0"/>
  </r>
  <r>
    <x v="214"/>
    <s v="Official defense."/>
    <s v="Investment"/>
    <n v="4875"/>
    <x v="1"/>
    <x v="0"/>
    <x v="0"/>
  </r>
  <r>
    <x v="215"/>
    <s v="Suggest glass news."/>
    <s v="Investment"/>
    <n v="946"/>
    <x v="1"/>
    <x v="0"/>
    <x v="0"/>
  </r>
  <r>
    <x v="216"/>
    <s v="Off southern suddenly."/>
    <s v="Utilities"/>
    <n v="1279.3599999999999"/>
    <x v="0"/>
    <x v="0"/>
    <x v="0"/>
  </r>
  <r>
    <x v="217"/>
    <s v="Participant price."/>
    <s v="Rent"/>
    <n v="1746.71"/>
    <x v="0"/>
    <x v="0"/>
    <x v="0"/>
  </r>
  <r>
    <x v="218"/>
    <s v="Congress reflect."/>
    <s v="Salary"/>
    <n v="962.64"/>
    <x v="0"/>
    <x v="0"/>
    <x v="0"/>
  </r>
  <r>
    <x v="219"/>
    <s v="Go consider century price."/>
    <s v="Food &amp; Drink"/>
    <n v="512.42999999999995"/>
    <x v="0"/>
    <x v="0"/>
    <x v="0"/>
  </r>
  <r>
    <x v="220"/>
    <s v="Scientist will begin."/>
    <s v="Rent"/>
    <n v="1646.01"/>
    <x v="0"/>
    <x v="0"/>
    <x v="0"/>
  </r>
  <r>
    <x v="221"/>
    <s v="Heavy law church."/>
    <s v="Rent"/>
    <n v="1158.27"/>
    <x v="0"/>
    <x v="0"/>
    <x v="0"/>
  </r>
  <r>
    <x v="222"/>
    <s v="Since nothing be apply."/>
    <s v="Utilities"/>
    <n v="306.89999999999998"/>
    <x v="0"/>
    <x v="0"/>
    <x v="0"/>
  </r>
  <r>
    <x v="223"/>
    <s v="Anyone bank kitchen interest parent."/>
    <s v="Travel"/>
    <n v="179.51"/>
    <x v="0"/>
    <x v="0"/>
    <x v="0"/>
  </r>
  <r>
    <x v="224"/>
    <s v="Democratic mention generation."/>
    <s v="Shopping"/>
    <n v="1216.57"/>
    <x v="0"/>
    <x v="0"/>
    <x v="0"/>
  </r>
  <r>
    <x v="225"/>
    <s v="Question or money."/>
    <s v="Entertainment"/>
    <n v="1553.63"/>
    <x v="0"/>
    <x v="0"/>
    <x v="0"/>
  </r>
  <r>
    <x v="226"/>
    <s v="Determine worker."/>
    <s v="Salary"/>
    <n v="601.73"/>
    <x v="0"/>
    <x v="0"/>
    <x v="0"/>
  </r>
  <r>
    <x v="227"/>
    <s v="Daughter war."/>
    <s v="Shopping"/>
    <n v="617.71"/>
    <x v="0"/>
    <x v="0"/>
    <x v="0"/>
  </r>
  <r>
    <x v="228"/>
    <s v="Face build market."/>
    <s v="Rent"/>
    <n v="1895.7"/>
    <x v="0"/>
    <x v="0"/>
    <x v="0"/>
  </r>
  <r>
    <x v="229"/>
    <s v="Can mouth discover."/>
    <s v="Entertainment"/>
    <n v="536.65"/>
    <x v="0"/>
    <x v="0"/>
    <x v="0"/>
  </r>
  <r>
    <x v="230"/>
    <s v="Author technology amount affect."/>
    <s v="Investment"/>
    <n v="1923"/>
    <x v="1"/>
    <x v="0"/>
    <x v="0"/>
  </r>
  <r>
    <x v="231"/>
    <s v="Office of remember individual."/>
    <s v="Utilities"/>
    <n v="15.32"/>
    <x v="0"/>
    <x v="0"/>
    <x v="0"/>
  </r>
  <r>
    <x v="232"/>
    <s v="Again foot soon peace."/>
    <s v="Salary"/>
    <n v="589.61"/>
    <x v="0"/>
    <x v="0"/>
    <x v="0"/>
  </r>
  <r>
    <x v="233"/>
    <s v="Join black."/>
    <s v="Travel"/>
    <n v="1408.95"/>
    <x v="0"/>
    <x v="0"/>
    <x v="0"/>
  </r>
  <r>
    <x v="234"/>
    <s v="Hundred bad that second develop."/>
    <s v="Entertainment"/>
    <n v="1848.58"/>
    <x v="0"/>
    <x v="0"/>
    <x v="0"/>
  </r>
  <r>
    <x v="235"/>
    <s v="Member box."/>
    <s v="Entertainment"/>
    <n v="856.03"/>
    <x v="0"/>
    <x v="0"/>
    <x v="0"/>
  </r>
  <r>
    <x v="236"/>
    <s v="Town glass road."/>
    <s v="Utilities"/>
    <n v="1817.74"/>
    <x v="0"/>
    <x v="0"/>
    <x v="0"/>
  </r>
  <r>
    <x v="237"/>
    <s v="Bill eight community."/>
    <s v="Rent"/>
    <n v="128.68"/>
    <x v="0"/>
    <x v="0"/>
    <x v="0"/>
  </r>
  <r>
    <x v="238"/>
    <s v="Concern significant."/>
    <s v="Travel"/>
    <n v="883.92"/>
    <x v="0"/>
    <x v="0"/>
    <x v="0"/>
  </r>
  <r>
    <x v="239"/>
    <s v="Senior service large under."/>
    <s v="Travel"/>
    <n v="1402.47"/>
    <x v="0"/>
    <x v="0"/>
    <x v="0"/>
  </r>
  <r>
    <x v="240"/>
    <s v="Follow wife firm key light."/>
    <s v="Salary"/>
    <n v="881.14"/>
    <x v="0"/>
    <x v="0"/>
    <x v="0"/>
  </r>
  <r>
    <x v="241"/>
    <s v="Option goal avoid."/>
    <s v="Shopping"/>
    <n v="1471.72"/>
    <x v="0"/>
    <x v="0"/>
    <x v="0"/>
  </r>
  <r>
    <x v="242"/>
    <s v="Also hard expert popular."/>
    <s v="Food &amp; Drink"/>
    <n v="191.74"/>
    <x v="0"/>
    <x v="0"/>
    <x v="0"/>
  </r>
  <r>
    <x v="243"/>
    <s v="Order his oil west school."/>
    <s v="Food &amp; Drink"/>
    <n v="1999.15"/>
    <x v="0"/>
    <x v="0"/>
    <x v="0"/>
  </r>
  <r>
    <x v="244"/>
    <s v="Training occur could painting."/>
    <s v="Travel"/>
    <n v="1156.73"/>
    <x v="0"/>
    <x v="0"/>
    <x v="0"/>
  </r>
  <r>
    <x v="245"/>
    <s v="Whatever late specific."/>
    <s v="Utilities"/>
    <n v="946.3"/>
    <x v="0"/>
    <x v="0"/>
    <x v="0"/>
  </r>
  <r>
    <x v="246"/>
    <s v="Mean common."/>
    <s v="Travel"/>
    <n v="371.16"/>
    <x v="0"/>
    <x v="0"/>
    <x v="0"/>
  </r>
  <r>
    <x v="247"/>
    <s v="Yard model particular hair."/>
    <s v="Salary"/>
    <n v="1938.42"/>
    <x v="0"/>
    <x v="0"/>
    <x v="0"/>
  </r>
  <r>
    <x v="248"/>
    <s v="Impact full our smile."/>
    <s v="Shopping"/>
    <n v="673.28"/>
    <x v="0"/>
    <x v="0"/>
    <x v="0"/>
  </r>
  <r>
    <x v="249"/>
    <s v="Form newspaper."/>
    <s v="Utilities"/>
    <n v="666.31"/>
    <x v="0"/>
    <x v="0"/>
    <x v="0"/>
  </r>
  <r>
    <x v="250"/>
    <s v="Edge surface who."/>
    <s v="Travel"/>
    <n v="1328.54"/>
    <x v="0"/>
    <x v="0"/>
    <x v="0"/>
  </r>
  <r>
    <x v="251"/>
    <s v="Bank professional true financial."/>
    <s v="Food &amp; Drink"/>
    <n v="915.1"/>
    <x v="0"/>
    <x v="0"/>
    <x v="0"/>
  </r>
  <r>
    <x v="252"/>
    <s v="Organization visit finally."/>
    <s v="Health &amp; Fitness"/>
    <n v="240.68"/>
    <x v="0"/>
    <x v="0"/>
    <x v="0"/>
  </r>
  <r>
    <x v="253"/>
    <s v="Spend prove stock school."/>
    <s v="Food &amp; Drink"/>
    <n v="1318.74"/>
    <x v="0"/>
    <x v="0"/>
    <x v="0"/>
  </r>
  <r>
    <x v="254"/>
    <s v="Position interest."/>
    <s v="Shopping"/>
    <n v="117.87"/>
    <x v="0"/>
    <x v="0"/>
    <x v="0"/>
  </r>
  <r>
    <x v="255"/>
    <s v="Guy congress."/>
    <s v="Salary"/>
    <n v="1254.56"/>
    <x v="0"/>
    <x v="0"/>
    <x v="0"/>
  </r>
  <r>
    <x v="256"/>
    <s v="Way main difficult case."/>
    <s v="Entertainment"/>
    <n v="541.44000000000005"/>
    <x v="0"/>
    <x v="0"/>
    <x v="0"/>
  </r>
  <r>
    <x v="257"/>
    <s v="Such big side."/>
    <s v="Other"/>
    <n v="4089"/>
    <x v="1"/>
    <x v="0"/>
    <x v="0"/>
  </r>
  <r>
    <x v="258"/>
    <s v="Product then."/>
    <s v="Salary"/>
    <n v="251.64"/>
    <x v="0"/>
    <x v="0"/>
    <x v="0"/>
  </r>
  <r>
    <x v="259"/>
    <s v="Heavy class story side speak."/>
    <s v="Entertainment"/>
    <n v="1422.47"/>
    <x v="0"/>
    <x v="0"/>
    <x v="0"/>
  </r>
  <r>
    <x v="260"/>
    <s v="Analysis hair rest wide."/>
    <s v="Food &amp; Drink"/>
    <n v="1108.98"/>
    <x v="0"/>
    <x v="0"/>
    <x v="0"/>
  </r>
  <r>
    <x v="261"/>
    <s v="Doctor dream whole six."/>
    <s v="Investment"/>
    <n v="4280"/>
    <x v="1"/>
    <x v="0"/>
    <x v="0"/>
  </r>
  <r>
    <x v="262"/>
    <s v="Question now key show."/>
    <s v="Utilities"/>
    <n v="1001.77"/>
    <x v="0"/>
    <x v="0"/>
    <x v="0"/>
  </r>
  <r>
    <x v="263"/>
    <s v="Month whom stage soon."/>
    <s v="Travel"/>
    <n v="836.83"/>
    <x v="0"/>
    <x v="0"/>
    <x v="0"/>
  </r>
  <r>
    <x v="264"/>
    <s v="Appear lose he."/>
    <s v="Salary"/>
    <n v="495.02"/>
    <x v="0"/>
    <x v="0"/>
    <x v="0"/>
  </r>
  <r>
    <x v="265"/>
    <s v="Surface expect several evening town."/>
    <s v="Shopping"/>
    <n v="389.31"/>
    <x v="0"/>
    <x v="0"/>
    <x v="0"/>
  </r>
  <r>
    <x v="266"/>
    <s v="Begin treat stage this."/>
    <s v="Utilities"/>
    <n v="1729.41"/>
    <x v="0"/>
    <x v="0"/>
    <x v="0"/>
  </r>
  <r>
    <x v="267"/>
    <s v="Apply maybe dog yes."/>
    <s v="Shopping"/>
    <n v="686.35"/>
    <x v="0"/>
    <x v="0"/>
    <x v="0"/>
  </r>
  <r>
    <x v="268"/>
    <s v="Agreement us stuff."/>
    <s v="Travel"/>
    <n v="1642.89"/>
    <x v="0"/>
    <x v="0"/>
    <x v="0"/>
  </r>
  <r>
    <x v="269"/>
    <s v="Case expert stop."/>
    <s v="Travel"/>
    <n v="1676.58"/>
    <x v="0"/>
    <x v="0"/>
    <x v="0"/>
  </r>
  <r>
    <x v="270"/>
    <s v="Large accept bad eight."/>
    <s v="Salary"/>
    <n v="1731.87"/>
    <x v="0"/>
    <x v="0"/>
    <x v="0"/>
  </r>
  <r>
    <x v="271"/>
    <s v="Vote participant institution simply down."/>
    <s v="Salary"/>
    <n v="696.8"/>
    <x v="0"/>
    <x v="0"/>
    <x v="0"/>
  </r>
  <r>
    <x v="272"/>
    <s v="Draw police."/>
    <s v="Shopping"/>
    <n v="916.14"/>
    <x v="0"/>
    <x v="0"/>
    <x v="0"/>
  </r>
  <r>
    <x v="273"/>
    <s v="Book toward."/>
    <s v="Entertainment"/>
    <n v="1961.74"/>
    <x v="0"/>
    <x v="0"/>
    <x v="0"/>
  </r>
  <r>
    <x v="274"/>
    <s v="Place offer."/>
    <s v="Shopping"/>
    <n v="474.79"/>
    <x v="0"/>
    <x v="0"/>
    <x v="0"/>
  </r>
  <r>
    <x v="275"/>
    <s v="Investment pass drive."/>
    <s v="Food &amp; Drink"/>
    <n v="643.16999999999996"/>
    <x v="0"/>
    <x v="0"/>
    <x v="0"/>
  </r>
  <r>
    <x v="276"/>
    <s v="Professor beat window."/>
    <s v="Shopping"/>
    <n v="778.3"/>
    <x v="0"/>
    <x v="0"/>
    <x v="0"/>
  </r>
  <r>
    <x v="277"/>
    <s v="Name skill medical after them."/>
    <s v="Utilities"/>
    <n v="995.7"/>
    <x v="0"/>
    <x v="0"/>
    <x v="0"/>
  </r>
  <r>
    <x v="278"/>
    <s v="Wonder effect administration small."/>
    <s v="Other"/>
    <n v="1322"/>
    <x v="1"/>
    <x v="0"/>
    <x v="0"/>
  </r>
  <r>
    <x v="279"/>
    <s v="Run pick sign."/>
    <s v="Salary"/>
    <n v="208.43"/>
    <x v="0"/>
    <x v="0"/>
    <x v="0"/>
  </r>
  <r>
    <x v="280"/>
    <s v="And national spend."/>
    <s v="Food &amp; Drink"/>
    <n v="1447.66"/>
    <x v="0"/>
    <x v="0"/>
    <x v="0"/>
  </r>
  <r>
    <x v="281"/>
    <s v="Wonder long consider care."/>
    <s v="Utilities"/>
    <n v="158.91"/>
    <x v="0"/>
    <x v="0"/>
    <x v="0"/>
  </r>
  <r>
    <x v="282"/>
    <s v="Fall analysis."/>
    <s v="Travel"/>
    <n v="683.74"/>
    <x v="0"/>
    <x v="0"/>
    <x v="0"/>
  </r>
  <r>
    <x v="283"/>
    <s v="Firm financial."/>
    <s v="Rent"/>
    <n v="1705.01"/>
    <x v="0"/>
    <x v="0"/>
    <x v="0"/>
  </r>
  <r>
    <x v="284"/>
    <s v="List already positive experience television."/>
    <s v="Shopping"/>
    <n v="1908.74"/>
    <x v="0"/>
    <x v="0"/>
    <x v="0"/>
  </r>
  <r>
    <x v="285"/>
    <s v="Event son join hundred."/>
    <s v="Salary"/>
    <n v="1746.04"/>
    <x v="0"/>
    <x v="0"/>
    <x v="0"/>
  </r>
  <r>
    <x v="286"/>
    <s v="Fund cost reality happen."/>
    <s v="Investment"/>
    <n v="2423"/>
    <x v="1"/>
    <x v="0"/>
    <x v="0"/>
  </r>
  <r>
    <x v="287"/>
    <s v="Song risk bad."/>
    <s v="Travel"/>
    <n v="1994.88"/>
    <x v="0"/>
    <x v="0"/>
    <x v="0"/>
  </r>
  <r>
    <x v="288"/>
    <s v="Family bill foreign fast knowledge."/>
    <s v="Shopping"/>
    <n v="1956.89"/>
    <x v="0"/>
    <x v="0"/>
    <x v="0"/>
  </r>
  <r>
    <x v="289"/>
    <s v="Ready goal amount."/>
    <s v="Rent"/>
    <n v="892.92"/>
    <x v="0"/>
    <x v="0"/>
    <x v="0"/>
  </r>
  <r>
    <x v="290"/>
    <s v="Your ever woman way avoid."/>
    <s v="Food &amp; Drink"/>
    <n v="101.52"/>
    <x v="0"/>
    <x v="0"/>
    <x v="0"/>
  </r>
  <r>
    <x v="291"/>
    <s v="Message seek civil all."/>
    <s v="Travel"/>
    <n v="723.34"/>
    <x v="0"/>
    <x v="0"/>
    <x v="0"/>
  </r>
  <r>
    <x v="292"/>
    <s v="Call door."/>
    <s v="Entertainment"/>
    <n v="1067.02"/>
    <x v="0"/>
    <x v="0"/>
    <x v="0"/>
  </r>
  <r>
    <x v="293"/>
    <s v="Him note painting quickly."/>
    <s v="Utilities"/>
    <n v="348.27"/>
    <x v="0"/>
    <x v="0"/>
    <x v="0"/>
  </r>
  <r>
    <x v="294"/>
    <s v="Know baby case happen."/>
    <s v="Other"/>
    <n v="2472"/>
    <x v="1"/>
    <x v="0"/>
    <x v="0"/>
  </r>
  <r>
    <x v="295"/>
    <s v="Economic box save."/>
    <s v="Utilities"/>
    <n v="472.06"/>
    <x v="0"/>
    <x v="0"/>
    <x v="0"/>
  </r>
  <r>
    <x v="296"/>
    <s v="Hit no energy employee land."/>
    <s v="Salary"/>
    <n v="518.1"/>
    <x v="0"/>
    <x v="0"/>
    <x v="0"/>
  </r>
  <r>
    <x v="297"/>
    <s v="Customer career available common."/>
    <s v="Other"/>
    <n v="2856"/>
    <x v="1"/>
    <x v="0"/>
    <x v="0"/>
  </r>
  <r>
    <x v="298"/>
    <s v="Specific whose."/>
    <s v="Utilities"/>
    <n v="156.99"/>
    <x v="0"/>
    <x v="0"/>
    <x v="0"/>
  </r>
  <r>
    <x v="299"/>
    <s v="Remember nearly face feel."/>
    <s v="Travel"/>
    <n v="1281.49"/>
    <x v="0"/>
    <x v="0"/>
    <x v="0"/>
  </r>
  <r>
    <x v="300"/>
    <s v="Soldier meeting building."/>
    <s v="Travel"/>
    <n v="919.1"/>
    <x v="0"/>
    <x v="0"/>
    <x v="0"/>
  </r>
  <r>
    <x v="301"/>
    <s v="Door management guess."/>
    <s v="Shopping"/>
    <n v="1708.14"/>
    <x v="0"/>
    <x v="0"/>
    <x v="0"/>
  </r>
  <r>
    <x v="302"/>
    <s v="Level work candidate this."/>
    <s v="Other"/>
    <n v="3440"/>
    <x v="1"/>
    <x v="0"/>
    <x v="0"/>
  </r>
  <r>
    <x v="303"/>
    <s v="Huge response long."/>
    <s v="Travel"/>
    <n v="53.66"/>
    <x v="0"/>
    <x v="0"/>
    <x v="0"/>
  </r>
  <r>
    <x v="304"/>
    <s v="Statement available win politics."/>
    <s v="Shopping"/>
    <n v="556.22"/>
    <x v="0"/>
    <x v="0"/>
    <x v="0"/>
  </r>
  <r>
    <x v="305"/>
    <s v="Quite general there sister."/>
    <s v="Food &amp; Drink"/>
    <n v="1822.13"/>
    <x v="0"/>
    <x v="0"/>
    <x v="0"/>
  </r>
  <r>
    <x v="306"/>
    <s v="Item treat area."/>
    <s v="Travel"/>
    <n v="1553.72"/>
    <x v="0"/>
    <x v="0"/>
    <x v="0"/>
  </r>
  <r>
    <x v="307"/>
    <s v="Check clearly follow remember generation."/>
    <s v="Health &amp; Fitness"/>
    <n v="445.82"/>
    <x v="0"/>
    <x v="0"/>
    <x v="0"/>
  </r>
  <r>
    <x v="308"/>
    <s v="Suffer economy play."/>
    <s v="Other"/>
    <n v="1620"/>
    <x v="1"/>
    <x v="0"/>
    <x v="0"/>
  </r>
  <r>
    <x v="309"/>
    <s v="By field move."/>
    <s v="Food &amp; Drink"/>
    <n v="624.78"/>
    <x v="0"/>
    <x v="0"/>
    <x v="0"/>
  </r>
  <r>
    <x v="310"/>
    <s v="Option oil commercial."/>
    <s v="Health &amp; Fitness"/>
    <n v="1467.4"/>
    <x v="0"/>
    <x v="0"/>
    <x v="0"/>
  </r>
  <r>
    <x v="311"/>
    <s v="American tell ball we side."/>
    <s v="Other"/>
    <n v="3176"/>
    <x v="1"/>
    <x v="0"/>
    <x v="0"/>
  </r>
  <r>
    <x v="312"/>
    <s v="Short indicate police."/>
    <s v="Utilities"/>
    <n v="409.58"/>
    <x v="0"/>
    <x v="0"/>
    <x v="0"/>
  </r>
  <r>
    <x v="313"/>
    <s v="Nation politics few each southern."/>
    <s v="Health &amp; Fitness"/>
    <n v="1066.4000000000001"/>
    <x v="0"/>
    <x v="0"/>
    <x v="0"/>
  </r>
  <r>
    <x v="314"/>
    <s v="Law read citizen."/>
    <s v="Utilities"/>
    <n v="521.37"/>
    <x v="0"/>
    <x v="0"/>
    <x v="0"/>
  </r>
  <r>
    <x v="315"/>
    <s v="Less future century technology."/>
    <s v="Salary"/>
    <n v="1935.09"/>
    <x v="0"/>
    <x v="0"/>
    <x v="0"/>
  </r>
  <r>
    <x v="316"/>
    <s v="Wish candidate have no."/>
    <s v="Health &amp; Fitness"/>
    <n v="1610.42"/>
    <x v="0"/>
    <x v="0"/>
    <x v="0"/>
  </r>
  <r>
    <x v="317"/>
    <s v="Letter environment easy."/>
    <s v="Rent"/>
    <n v="290.11"/>
    <x v="0"/>
    <x v="0"/>
    <x v="0"/>
  </r>
  <r>
    <x v="318"/>
    <s v="Face his."/>
    <s v="Shopping"/>
    <n v="1934.87"/>
    <x v="0"/>
    <x v="0"/>
    <x v="0"/>
  </r>
  <r>
    <x v="319"/>
    <s v="While total spend."/>
    <s v="Health &amp; Fitness"/>
    <n v="189.7"/>
    <x v="0"/>
    <x v="0"/>
    <x v="0"/>
  </r>
  <r>
    <x v="320"/>
    <s v="Couple city you level."/>
    <s v="Travel"/>
    <n v="1077.78"/>
    <x v="0"/>
    <x v="0"/>
    <x v="0"/>
  </r>
  <r>
    <x v="321"/>
    <s v="Age war measure whom."/>
    <s v="Travel"/>
    <n v="1173.27"/>
    <x v="0"/>
    <x v="0"/>
    <x v="0"/>
  </r>
  <r>
    <x v="322"/>
    <s v="Good anything manager think pressure."/>
    <s v="Health &amp; Fitness"/>
    <n v="225.61"/>
    <x v="0"/>
    <x v="0"/>
    <x v="0"/>
  </r>
  <r>
    <x v="323"/>
    <s v="Mr suggest issue."/>
    <s v="Food &amp; Drink"/>
    <n v="1242.9000000000001"/>
    <x v="0"/>
    <x v="0"/>
    <x v="0"/>
  </r>
  <r>
    <x v="324"/>
    <s v="Shake hand hundred now."/>
    <s v="Health &amp; Fitness"/>
    <n v="1831.36"/>
    <x v="0"/>
    <x v="0"/>
    <x v="0"/>
  </r>
  <r>
    <x v="325"/>
    <s v="Network available mean share."/>
    <s v="Rent"/>
    <n v="1274.45"/>
    <x v="0"/>
    <x v="0"/>
    <x v="0"/>
  </r>
  <r>
    <x v="326"/>
    <s v="Quite budget window hour some."/>
    <s v="Travel"/>
    <n v="1301.99"/>
    <x v="0"/>
    <x v="0"/>
    <x v="0"/>
  </r>
  <r>
    <x v="327"/>
    <s v="Voice sense current meeting matter."/>
    <s v="Investment"/>
    <n v="804"/>
    <x v="1"/>
    <x v="0"/>
    <x v="0"/>
  </r>
  <r>
    <x v="328"/>
    <s v="Case four."/>
    <s v="Salary"/>
    <n v="241.08"/>
    <x v="0"/>
    <x v="0"/>
    <x v="0"/>
  </r>
  <r>
    <x v="329"/>
    <s v="Lead paper middle foreign party."/>
    <s v="Utilities"/>
    <n v="783.41"/>
    <x v="0"/>
    <x v="0"/>
    <x v="0"/>
  </r>
  <r>
    <x v="330"/>
    <s v="Wrong school federal from."/>
    <s v="Shopping"/>
    <n v="1178.81"/>
    <x v="0"/>
    <x v="0"/>
    <x v="0"/>
  </r>
  <r>
    <x v="331"/>
    <s v="Majority none little admit former."/>
    <s v="Shopping"/>
    <n v="1313.29"/>
    <x v="0"/>
    <x v="0"/>
    <x v="0"/>
  </r>
  <r>
    <x v="332"/>
    <s v="On someone rise read."/>
    <s v="Shopping"/>
    <n v="1878.72"/>
    <x v="0"/>
    <x v="0"/>
    <x v="0"/>
  </r>
  <r>
    <x v="333"/>
    <s v="Listen whose situation simply officer."/>
    <s v="Health &amp; Fitness"/>
    <n v="442.37"/>
    <x v="0"/>
    <x v="0"/>
    <x v="0"/>
  </r>
  <r>
    <x v="334"/>
    <s v="Lose modern return simple herself."/>
    <s v="Entertainment"/>
    <n v="1712.35"/>
    <x v="0"/>
    <x v="0"/>
    <x v="0"/>
  </r>
  <r>
    <x v="335"/>
    <s v="Occur red."/>
    <s v="Other"/>
    <n v="4960"/>
    <x v="1"/>
    <x v="0"/>
    <x v="0"/>
  </r>
  <r>
    <x v="336"/>
    <s v="Kid industry."/>
    <s v="Health &amp; Fitness"/>
    <n v="130.49"/>
    <x v="0"/>
    <x v="0"/>
    <x v="0"/>
  </r>
  <r>
    <x v="337"/>
    <s v="Improve simple turn."/>
    <s v="Rent"/>
    <n v="1898.53"/>
    <x v="0"/>
    <x v="0"/>
    <x v="0"/>
  </r>
  <r>
    <x v="338"/>
    <s v="Million night your."/>
    <s v="Rent"/>
    <n v="1328.91"/>
    <x v="0"/>
    <x v="0"/>
    <x v="0"/>
  </r>
  <r>
    <x v="339"/>
    <s v="Heavy what least mouth national."/>
    <s v="Food &amp; Drink"/>
    <n v="110.65"/>
    <x v="0"/>
    <x v="0"/>
    <x v="0"/>
  </r>
  <r>
    <x v="340"/>
    <s v="Machine whatever everything fear walk."/>
    <s v="Utilities"/>
    <n v="1576.09"/>
    <x v="0"/>
    <x v="0"/>
    <x v="0"/>
  </r>
  <r>
    <x v="341"/>
    <s v="Relate real major."/>
    <s v="Entertainment"/>
    <n v="1176.9000000000001"/>
    <x v="0"/>
    <x v="0"/>
    <x v="0"/>
  </r>
  <r>
    <x v="342"/>
    <s v="Night various return explain."/>
    <s v="Entertainment"/>
    <n v="663.83"/>
    <x v="0"/>
    <x v="0"/>
    <x v="0"/>
  </r>
  <r>
    <x v="343"/>
    <s v="Here woman stand west source."/>
    <s v="Investment"/>
    <n v="2771"/>
    <x v="1"/>
    <x v="0"/>
    <x v="0"/>
  </r>
  <r>
    <x v="344"/>
    <s v="Explain research."/>
    <s v="Utilities"/>
    <n v="1975.18"/>
    <x v="0"/>
    <x v="0"/>
    <x v="0"/>
  </r>
  <r>
    <x v="345"/>
    <s v="Pretty section degree still."/>
    <s v="Utilities"/>
    <n v="228.75"/>
    <x v="0"/>
    <x v="0"/>
    <x v="0"/>
  </r>
  <r>
    <x v="346"/>
    <s v="Receive case past only drug."/>
    <s v="Utilities"/>
    <n v="39.57"/>
    <x v="0"/>
    <x v="0"/>
    <x v="0"/>
  </r>
  <r>
    <x v="347"/>
    <s v="Point appear including."/>
    <s v="Entertainment"/>
    <n v="1181.82"/>
    <x v="0"/>
    <x v="0"/>
    <x v="0"/>
  </r>
  <r>
    <x v="348"/>
    <s v="Race case."/>
    <s v="Other"/>
    <n v="929"/>
    <x v="1"/>
    <x v="0"/>
    <x v="0"/>
  </r>
  <r>
    <x v="349"/>
    <s v="Imagine various there."/>
    <s v="Other"/>
    <n v="4809"/>
    <x v="1"/>
    <x v="0"/>
    <x v="0"/>
  </r>
  <r>
    <x v="350"/>
    <s v="Sense expert experience."/>
    <s v="Investment"/>
    <n v="4401"/>
    <x v="1"/>
    <x v="0"/>
    <x v="0"/>
  </r>
  <r>
    <x v="351"/>
    <s v="Present discussion."/>
    <s v="Health &amp; Fitness"/>
    <n v="1031.3399999999999"/>
    <x v="0"/>
    <x v="0"/>
    <x v="0"/>
  </r>
  <r>
    <x v="352"/>
    <s v="Individual study value."/>
    <s v="Investment"/>
    <n v="855"/>
    <x v="1"/>
    <x v="0"/>
    <x v="0"/>
  </r>
  <r>
    <x v="353"/>
    <s v="Small control see the."/>
    <s v="Travel"/>
    <n v="921.5"/>
    <x v="0"/>
    <x v="0"/>
    <x v="0"/>
  </r>
  <r>
    <x v="354"/>
    <s v="Across nothing."/>
    <s v="Food &amp; Drink"/>
    <n v="1997.19"/>
    <x v="0"/>
    <x v="0"/>
    <x v="0"/>
  </r>
  <r>
    <x v="355"/>
    <s v="Expect writer myself management."/>
    <s v="Shopping"/>
    <n v="1375.33"/>
    <x v="0"/>
    <x v="0"/>
    <x v="0"/>
  </r>
  <r>
    <x v="356"/>
    <s v="Life cover both class."/>
    <s v="Salary"/>
    <n v="156.25"/>
    <x v="0"/>
    <x v="0"/>
    <x v="0"/>
  </r>
  <r>
    <x v="357"/>
    <s v="Responsibility add front."/>
    <s v="Investment"/>
    <n v="1038"/>
    <x v="1"/>
    <x v="0"/>
    <x v="0"/>
  </r>
  <r>
    <x v="358"/>
    <s v="Purpose cover particularly police if."/>
    <s v="Other"/>
    <n v="3620"/>
    <x v="1"/>
    <x v="0"/>
    <x v="0"/>
  </r>
  <r>
    <x v="359"/>
    <s v="Foreign husband believe word local."/>
    <s v="Travel"/>
    <n v="912.89"/>
    <x v="0"/>
    <x v="0"/>
    <x v="0"/>
  </r>
  <r>
    <x v="360"/>
    <s v="End dog."/>
    <s v="Rent"/>
    <n v="1588.26"/>
    <x v="0"/>
    <x v="0"/>
    <x v="0"/>
  </r>
  <r>
    <x v="361"/>
    <s v="Few reveal activity president."/>
    <s v="Investment"/>
    <n v="4023"/>
    <x v="1"/>
    <x v="0"/>
    <x v="0"/>
  </r>
  <r>
    <x v="362"/>
    <s v="Property let."/>
    <s v="Entertainment"/>
    <n v="833.49"/>
    <x v="0"/>
    <x v="0"/>
    <x v="0"/>
  </r>
  <r>
    <x v="363"/>
    <s v="Rather type thousand show."/>
    <s v="Shopping"/>
    <n v="837.82"/>
    <x v="0"/>
    <x v="0"/>
    <x v="0"/>
  </r>
  <r>
    <x v="364"/>
    <s v="Happen determine whatever."/>
    <s v="Other"/>
    <n v="3060"/>
    <x v="1"/>
    <x v="0"/>
    <x v="0"/>
  </r>
  <r>
    <x v="365"/>
    <s v="Lawyer writer health."/>
    <s v="Health &amp; Fitness"/>
    <n v="1907.65"/>
    <x v="0"/>
    <x v="1"/>
    <x v="1"/>
  </r>
  <r>
    <x v="366"/>
    <s v="Serious soon stay seven."/>
    <s v="Salary"/>
    <n v="143.6"/>
    <x v="0"/>
    <x v="1"/>
    <x v="1"/>
  </r>
  <r>
    <x v="367"/>
    <s v="Land region back nor article."/>
    <s v="Rent"/>
    <n v="869.43"/>
    <x v="0"/>
    <x v="1"/>
    <x v="1"/>
  </r>
  <r>
    <x v="368"/>
    <s v="Dark mr clearly take."/>
    <s v="Health &amp; Fitness"/>
    <n v="1625.42"/>
    <x v="0"/>
    <x v="1"/>
    <x v="1"/>
  </r>
  <r>
    <x v="369"/>
    <s v="Quite response."/>
    <s v="Health &amp; Fitness"/>
    <n v="1343.33"/>
    <x v="0"/>
    <x v="1"/>
    <x v="1"/>
  </r>
  <r>
    <x v="370"/>
    <s v="Together knowledge."/>
    <s v="Shopping"/>
    <n v="1737.5"/>
    <x v="0"/>
    <x v="1"/>
    <x v="1"/>
  </r>
  <r>
    <x v="371"/>
    <s v="Car indeed nor next."/>
    <s v="Travel"/>
    <n v="1204.82"/>
    <x v="0"/>
    <x v="1"/>
    <x v="1"/>
  </r>
  <r>
    <x v="372"/>
    <s v="How staff."/>
    <s v="Entertainment"/>
    <n v="317.91000000000003"/>
    <x v="0"/>
    <x v="1"/>
    <x v="1"/>
  </r>
  <r>
    <x v="373"/>
    <s v="Authority interest red must art."/>
    <s v="Rent"/>
    <n v="706.73"/>
    <x v="0"/>
    <x v="1"/>
    <x v="1"/>
  </r>
  <r>
    <x v="374"/>
    <s v="All important shoulder she."/>
    <s v="Rent"/>
    <n v="1527.59"/>
    <x v="0"/>
    <x v="1"/>
    <x v="1"/>
  </r>
  <r>
    <x v="375"/>
    <s v="Year him thank trade."/>
    <s v="Shopping"/>
    <n v="1691.86"/>
    <x v="0"/>
    <x v="1"/>
    <x v="1"/>
  </r>
  <r>
    <x v="376"/>
    <s v="Radio product."/>
    <s v="Food &amp; Drink"/>
    <n v="1221.9000000000001"/>
    <x v="0"/>
    <x v="1"/>
    <x v="1"/>
  </r>
  <r>
    <x v="377"/>
    <s v="President girl condition."/>
    <s v="Travel"/>
    <n v="67.62"/>
    <x v="0"/>
    <x v="1"/>
    <x v="1"/>
  </r>
  <r>
    <x v="378"/>
    <s v="More road development about."/>
    <s v="Travel"/>
    <n v="1843.86"/>
    <x v="0"/>
    <x v="1"/>
    <x v="1"/>
  </r>
  <r>
    <x v="379"/>
    <s v="Leg rest interest."/>
    <s v="Utilities"/>
    <n v="1741.03"/>
    <x v="0"/>
    <x v="1"/>
    <x v="1"/>
  </r>
  <r>
    <x v="380"/>
    <s v="Easy get every."/>
    <s v="Shopping"/>
    <n v="148.47"/>
    <x v="0"/>
    <x v="1"/>
    <x v="1"/>
  </r>
  <r>
    <x v="381"/>
    <s v="Special information."/>
    <s v="Food &amp; Drink"/>
    <n v="192.6"/>
    <x v="0"/>
    <x v="1"/>
    <x v="1"/>
  </r>
  <r>
    <x v="382"/>
    <s v="Deal beyond almost."/>
    <s v="Shopping"/>
    <n v="845.47"/>
    <x v="0"/>
    <x v="1"/>
    <x v="1"/>
  </r>
  <r>
    <x v="383"/>
    <s v="Scientist i doctor."/>
    <s v="Health &amp; Fitness"/>
    <n v="630.16"/>
    <x v="0"/>
    <x v="1"/>
    <x v="1"/>
  </r>
  <r>
    <x v="384"/>
    <s v="Cell year."/>
    <s v="Rent"/>
    <n v="1767.85"/>
    <x v="0"/>
    <x v="1"/>
    <x v="1"/>
  </r>
  <r>
    <x v="385"/>
    <s v="Five our pull fly few."/>
    <s v="Investment"/>
    <n v="1168"/>
    <x v="1"/>
    <x v="1"/>
    <x v="1"/>
  </r>
  <r>
    <x v="386"/>
    <s v="Determine feel article we they."/>
    <s v="Shopping"/>
    <n v="976.47"/>
    <x v="0"/>
    <x v="1"/>
    <x v="1"/>
  </r>
  <r>
    <x v="387"/>
    <s v="Quickly new another general poor."/>
    <s v="Travel"/>
    <n v="438.98"/>
    <x v="0"/>
    <x v="1"/>
    <x v="1"/>
  </r>
  <r>
    <x v="388"/>
    <s v="Five indicate chance heavy senior."/>
    <s v="Health &amp; Fitness"/>
    <n v="865.53"/>
    <x v="0"/>
    <x v="1"/>
    <x v="1"/>
  </r>
  <r>
    <x v="389"/>
    <s v="Support feeling remain."/>
    <s v="Salary"/>
    <n v="1058.5999999999999"/>
    <x v="0"/>
    <x v="1"/>
    <x v="1"/>
  </r>
  <r>
    <x v="390"/>
    <s v="None whose."/>
    <s v="Entertainment"/>
    <n v="796.57"/>
    <x v="0"/>
    <x v="1"/>
    <x v="1"/>
  </r>
  <r>
    <x v="391"/>
    <s v="Care drug data position two."/>
    <s v="Food &amp; Drink"/>
    <n v="416.8"/>
    <x v="0"/>
    <x v="1"/>
    <x v="1"/>
  </r>
  <r>
    <x v="392"/>
    <s v="Movie stop."/>
    <s v="Utilities"/>
    <n v="1530.68"/>
    <x v="0"/>
    <x v="1"/>
    <x v="1"/>
  </r>
  <r>
    <x v="393"/>
    <s v="Help painting always."/>
    <s v="Rent"/>
    <n v="25.38"/>
    <x v="0"/>
    <x v="1"/>
    <x v="1"/>
  </r>
  <r>
    <x v="394"/>
    <s v="Source onto provide."/>
    <s v="Utilities"/>
    <n v="267.08"/>
    <x v="0"/>
    <x v="1"/>
    <x v="1"/>
  </r>
  <r>
    <x v="395"/>
    <s v="Decade trade field training."/>
    <s v="Entertainment"/>
    <n v="1005.52"/>
    <x v="0"/>
    <x v="1"/>
    <x v="1"/>
  </r>
  <r>
    <x v="396"/>
    <s v="While bring yourself."/>
    <s v="Health &amp; Fitness"/>
    <n v="153.43"/>
    <x v="0"/>
    <x v="1"/>
    <x v="1"/>
  </r>
  <r>
    <x v="397"/>
    <s v="Receive region however."/>
    <s v="Food &amp; Drink"/>
    <n v="878.08"/>
    <x v="0"/>
    <x v="1"/>
    <x v="1"/>
  </r>
  <r>
    <x v="398"/>
    <s v="Focus executive letter possible final."/>
    <s v="Rent"/>
    <n v="1725.6"/>
    <x v="0"/>
    <x v="1"/>
    <x v="1"/>
  </r>
  <r>
    <x v="399"/>
    <s v="Third letter sort reveal seven."/>
    <s v="Shopping"/>
    <n v="1421.9"/>
    <x v="0"/>
    <x v="1"/>
    <x v="1"/>
  </r>
  <r>
    <x v="400"/>
    <s v="Have including none."/>
    <s v="Rent"/>
    <n v="816.01"/>
    <x v="0"/>
    <x v="1"/>
    <x v="1"/>
  </r>
  <r>
    <x v="401"/>
    <s v="Administration network once."/>
    <s v="Utilities"/>
    <n v="1604.63"/>
    <x v="0"/>
    <x v="1"/>
    <x v="1"/>
  </r>
  <r>
    <x v="402"/>
    <s v="Charge form here."/>
    <s v="Health &amp; Fitness"/>
    <n v="185.38"/>
    <x v="0"/>
    <x v="1"/>
    <x v="1"/>
  </r>
  <r>
    <x v="403"/>
    <s v="Nearly want front shake."/>
    <s v="Entertainment"/>
    <n v="877"/>
    <x v="0"/>
    <x v="1"/>
    <x v="1"/>
  </r>
  <r>
    <x v="404"/>
    <s v="Leave run goal cause."/>
    <s v="Rent"/>
    <n v="797.58"/>
    <x v="0"/>
    <x v="1"/>
    <x v="1"/>
  </r>
  <r>
    <x v="405"/>
    <s v="Contain threat wrong whatever."/>
    <s v="Health &amp; Fitness"/>
    <n v="450.93"/>
    <x v="0"/>
    <x v="1"/>
    <x v="1"/>
  </r>
  <r>
    <x v="406"/>
    <s v="Stuff avoid."/>
    <s v="Rent"/>
    <n v="1025.8599999999999"/>
    <x v="0"/>
    <x v="1"/>
    <x v="1"/>
  </r>
  <r>
    <x v="407"/>
    <s v="Include successful."/>
    <s v="Investment"/>
    <n v="3362"/>
    <x v="1"/>
    <x v="1"/>
    <x v="1"/>
  </r>
  <r>
    <x v="408"/>
    <s v="Religious across."/>
    <s v="Utilities"/>
    <n v="480.18"/>
    <x v="0"/>
    <x v="1"/>
    <x v="1"/>
  </r>
  <r>
    <x v="409"/>
    <s v="Health pay project pattern."/>
    <s v="Investment"/>
    <n v="1921"/>
    <x v="1"/>
    <x v="1"/>
    <x v="1"/>
  </r>
  <r>
    <x v="410"/>
    <s v="Administration mother in admit."/>
    <s v="Rent"/>
    <n v="362.52"/>
    <x v="0"/>
    <x v="1"/>
    <x v="1"/>
  </r>
  <r>
    <x v="411"/>
    <s v="Within admit spend purpose south."/>
    <s v="Salary"/>
    <n v="933.27"/>
    <x v="0"/>
    <x v="1"/>
    <x v="1"/>
  </r>
  <r>
    <x v="412"/>
    <s v="Truth modern."/>
    <s v="Salary"/>
    <n v="1365.46"/>
    <x v="0"/>
    <x v="1"/>
    <x v="1"/>
  </r>
  <r>
    <x v="413"/>
    <s v="People education great."/>
    <s v="Health &amp; Fitness"/>
    <n v="1729.85"/>
    <x v="0"/>
    <x v="1"/>
    <x v="1"/>
  </r>
  <r>
    <x v="414"/>
    <s v="Health image."/>
    <s v="Utilities"/>
    <n v="885.13"/>
    <x v="0"/>
    <x v="1"/>
    <x v="1"/>
  </r>
  <r>
    <x v="415"/>
    <s v="Wrong difficult range."/>
    <s v="Travel"/>
    <n v="1594.7"/>
    <x v="0"/>
    <x v="1"/>
    <x v="1"/>
  </r>
  <r>
    <x v="416"/>
    <s v="Behavior here."/>
    <s v="Health &amp; Fitness"/>
    <n v="1019.6"/>
    <x v="0"/>
    <x v="1"/>
    <x v="1"/>
  </r>
  <r>
    <x v="417"/>
    <s v="Argue act commercial matter."/>
    <s v="Salary"/>
    <n v="84.84"/>
    <x v="0"/>
    <x v="1"/>
    <x v="1"/>
  </r>
  <r>
    <x v="418"/>
    <s v="Not teach believe month."/>
    <s v="Travel"/>
    <n v="162.69"/>
    <x v="0"/>
    <x v="1"/>
    <x v="1"/>
  </r>
  <r>
    <x v="419"/>
    <s v="Deep test thought."/>
    <s v="Rent"/>
    <n v="1233.8699999999999"/>
    <x v="0"/>
    <x v="1"/>
    <x v="1"/>
  </r>
  <r>
    <x v="420"/>
    <s v="Another avoid understand."/>
    <s v="Salary"/>
    <n v="1164.8599999999999"/>
    <x v="0"/>
    <x v="1"/>
    <x v="1"/>
  </r>
  <r>
    <x v="421"/>
    <s v="Probably conference sure administration debate."/>
    <s v="Food &amp; Drink"/>
    <n v="904.97"/>
    <x v="0"/>
    <x v="1"/>
    <x v="1"/>
  </r>
  <r>
    <x v="422"/>
    <s v="Up federal nor note."/>
    <s v="Entertainment"/>
    <n v="649.84"/>
    <x v="0"/>
    <x v="1"/>
    <x v="1"/>
  </r>
  <r>
    <x v="423"/>
    <s v="Forward sense cause write right."/>
    <s v="Utilities"/>
    <n v="1915.87"/>
    <x v="0"/>
    <x v="1"/>
    <x v="1"/>
  </r>
  <r>
    <x v="424"/>
    <s v="Approach join stuff future."/>
    <s v="Health &amp; Fitness"/>
    <n v="1964.95"/>
    <x v="0"/>
    <x v="1"/>
    <x v="1"/>
  </r>
  <r>
    <x v="425"/>
    <s v="Ahead event yeah make."/>
    <s v="Investment"/>
    <n v="820"/>
    <x v="1"/>
    <x v="1"/>
    <x v="1"/>
  </r>
  <r>
    <x v="426"/>
    <s v="Wait it quickly produce beat."/>
    <s v="Salary"/>
    <n v="1982.06"/>
    <x v="0"/>
    <x v="1"/>
    <x v="1"/>
  </r>
  <r>
    <x v="427"/>
    <s v="Require bank child."/>
    <s v="Utilities"/>
    <n v="734.16"/>
    <x v="0"/>
    <x v="1"/>
    <x v="1"/>
  </r>
  <r>
    <x v="428"/>
    <s v="First blood accept final."/>
    <s v="Shopping"/>
    <n v="823.45"/>
    <x v="0"/>
    <x v="1"/>
    <x v="1"/>
  </r>
  <r>
    <x v="429"/>
    <s v="Bill beautiful issue."/>
    <s v="Food &amp; Drink"/>
    <n v="1580.56"/>
    <x v="0"/>
    <x v="1"/>
    <x v="1"/>
  </r>
  <r>
    <x v="430"/>
    <s v="Mention billion bed never others."/>
    <s v="Rent"/>
    <n v="666.08"/>
    <x v="0"/>
    <x v="1"/>
    <x v="1"/>
  </r>
  <r>
    <x v="431"/>
    <s v="Activity including single right."/>
    <s v="Shopping"/>
    <n v="575.45000000000005"/>
    <x v="0"/>
    <x v="1"/>
    <x v="1"/>
  </r>
  <r>
    <x v="432"/>
    <s v="Occur college herself."/>
    <s v="Utilities"/>
    <n v="673.39"/>
    <x v="0"/>
    <x v="1"/>
    <x v="1"/>
  </r>
  <r>
    <x v="433"/>
    <s v="Feeling manage as."/>
    <s v="Utilities"/>
    <n v="1834.33"/>
    <x v="0"/>
    <x v="1"/>
    <x v="1"/>
  </r>
  <r>
    <x v="434"/>
    <s v="Inside machine baby."/>
    <s v="Shopping"/>
    <n v="266.61"/>
    <x v="0"/>
    <x v="1"/>
    <x v="1"/>
  </r>
  <r>
    <x v="435"/>
    <s v="Result many pattern."/>
    <s v="Rent"/>
    <n v="626.07000000000005"/>
    <x v="0"/>
    <x v="1"/>
    <x v="1"/>
  </r>
  <r>
    <x v="436"/>
    <s v="Career according."/>
    <s v="Health &amp; Fitness"/>
    <n v="1628.24"/>
    <x v="0"/>
    <x v="1"/>
    <x v="1"/>
  </r>
  <r>
    <x v="437"/>
    <s v="Success here television key."/>
    <s v="Rent"/>
    <n v="1295.5899999999999"/>
    <x v="0"/>
    <x v="1"/>
    <x v="1"/>
  </r>
  <r>
    <x v="438"/>
    <s v="Carry fly water cut fire."/>
    <s v="Health &amp; Fitness"/>
    <n v="46.28"/>
    <x v="0"/>
    <x v="1"/>
    <x v="1"/>
  </r>
  <r>
    <x v="439"/>
    <s v="Fact reason make office."/>
    <s v="Entertainment"/>
    <n v="690.05"/>
    <x v="0"/>
    <x v="1"/>
    <x v="1"/>
  </r>
  <r>
    <x v="440"/>
    <s v="Heavy staff hotel box."/>
    <s v="Entertainment"/>
    <n v="460.82"/>
    <x v="0"/>
    <x v="1"/>
    <x v="1"/>
  </r>
  <r>
    <x v="441"/>
    <s v="Or nation race."/>
    <s v="Investment"/>
    <n v="2923"/>
    <x v="1"/>
    <x v="1"/>
    <x v="1"/>
  </r>
  <r>
    <x v="442"/>
    <s v="Well left."/>
    <s v="Rent"/>
    <n v="1020.3"/>
    <x v="0"/>
    <x v="1"/>
    <x v="1"/>
  </r>
  <r>
    <x v="443"/>
    <s v="Something story attorney summer."/>
    <s v="Food &amp; Drink"/>
    <n v="1327.24"/>
    <x v="0"/>
    <x v="1"/>
    <x v="1"/>
  </r>
  <r>
    <x v="444"/>
    <s v="Cause field education child."/>
    <s v="Utilities"/>
    <n v="1198.52"/>
    <x v="0"/>
    <x v="1"/>
    <x v="1"/>
  </r>
  <r>
    <x v="445"/>
    <s v="Available wrong look husband."/>
    <s v="Investment"/>
    <n v="1856"/>
    <x v="1"/>
    <x v="1"/>
    <x v="1"/>
  </r>
  <r>
    <x v="446"/>
    <s v="Myself so growth time."/>
    <s v="Food &amp; Drink"/>
    <n v="827.61"/>
    <x v="0"/>
    <x v="1"/>
    <x v="1"/>
  </r>
  <r>
    <x v="447"/>
    <s v="Point be shoulder price great."/>
    <s v="Entertainment"/>
    <n v="1939.48"/>
    <x v="0"/>
    <x v="1"/>
    <x v="1"/>
  </r>
  <r>
    <x v="448"/>
    <s v="Worker quality hundred sell whole."/>
    <s v="Salary"/>
    <n v="475.67"/>
    <x v="0"/>
    <x v="1"/>
    <x v="1"/>
  </r>
  <r>
    <x v="449"/>
    <s v="Action else."/>
    <s v="Salary"/>
    <n v="1808.91"/>
    <x v="0"/>
    <x v="1"/>
    <x v="1"/>
  </r>
  <r>
    <x v="450"/>
    <s v="Newspaper reach determine hear leg."/>
    <s v="Other"/>
    <n v="4282"/>
    <x v="1"/>
    <x v="1"/>
    <x v="1"/>
  </r>
  <r>
    <x v="451"/>
    <s v="General agency bit."/>
    <s v="Shopping"/>
    <n v="1010.78"/>
    <x v="0"/>
    <x v="1"/>
    <x v="1"/>
  </r>
  <r>
    <x v="452"/>
    <s v="Break wait."/>
    <s v="Utilities"/>
    <n v="1635.61"/>
    <x v="0"/>
    <x v="1"/>
    <x v="1"/>
  </r>
  <r>
    <x v="453"/>
    <s v="Find lay deal lot."/>
    <s v="Utilities"/>
    <n v="1747.27"/>
    <x v="0"/>
    <x v="1"/>
    <x v="1"/>
  </r>
  <r>
    <x v="454"/>
    <s v="Just recent."/>
    <s v="Other"/>
    <n v="3540"/>
    <x v="1"/>
    <x v="1"/>
    <x v="1"/>
  </r>
  <r>
    <x v="455"/>
    <s v="Feel special."/>
    <s v="Rent"/>
    <n v="1425.69"/>
    <x v="0"/>
    <x v="1"/>
    <x v="1"/>
  </r>
  <r>
    <x v="456"/>
    <s v="Support possible."/>
    <s v="Rent"/>
    <n v="577.28"/>
    <x v="0"/>
    <x v="1"/>
    <x v="1"/>
  </r>
  <r>
    <x v="457"/>
    <s v="Might necessary former."/>
    <s v="Travel"/>
    <n v="904.15"/>
    <x v="0"/>
    <x v="1"/>
    <x v="1"/>
  </r>
  <r>
    <x v="458"/>
    <s v="Discussion if continue policy."/>
    <s v="Shopping"/>
    <n v="192.51"/>
    <x v="0"/>
    <x v="1"/>
    <x v="1"/>
  </r>
  <r>
    <x v="459"/>
    <s v="Ahead pass culture or."/>
    <s v="Salary"/>
    <n v="1770.41"/>
    <x v="0"/>
    <x v="1"/>
    <x v="1"/>
  </r>
  <r>
    <x v="460"/>
    <s v="Relate day."/>
    <s v="Shopping"/>
    <n v="115.98"/>
    <x v="0"/>
    <x v="1"/>
    <x v="1"/>
  </r>
  <r>
    <x v="461"/>
    <s v="Big the cost for leader."/>
    <s v="Entertainment"/>
    <n v="778.47"/>
    <x v="0"/>
    <x v="1"/>
    <x v="1"/>
  </r>
  <r>
    <x v="462"/>
    <s v="Month police others particularly."/>
    <s v="Investment"/>
    <n v="730"/>
    <x v="1"/>
    <x v="1"/>
    <x v="1"/>
  </r>
  <r>
    <x v="463"/>
    <s v="Girl suddenly."/>
    <s v="Rent"/>
    <n v="1679.96"/>
    <x v="0"/>
    <x v="1"/>
    <x v="1"/>
  </r>
  <r>
    <x v="464"/>
    <s v="Try opportunity public."/>
    <s v="Utilities"/>
    <n v="283.82"/>
    <x v="0"/>
    <x v="1"/>
    <x v="1"/>
  </r>
  <r>
    <x v="465"/>
    <s v="Draw bring health."/>
    <s v="Salary"/>
    <n v="1395.18"/>
    <x v="0"/>
    <x v="1"/>
    <x v="1"/>
  </r>
  <r>
    <x v="466"/>
    <s v="Home others offer institution main."/>
    <s v="Other"/>
    <n v="4174"/>
    <x v="1"/>
    <x v="1"/>
    <x v="1"/>
  </r>
  <r>
    <x v="467"/>
    <s v="Never majority cell."/>
    <s v="Rent"/>
    <n v="47.82"/>
    <x v="0"/>
    <x v="1"/>
    <x v="1"/>
  </r>
  <r>
    <x v="468"/>
    <s v="People tend weight machine."/>
    <s v="Utilities"/>
    <n v="1102.1199999999999"/>
    <x v="0"/>
    <x v="1"/>
    <x v="1"/>
  </r>
  <r>
    <x v="469"/>
    <s v="White measure manager range."/>
    <s v="Shopping"/>
    <n v="231.26"/>
    <x v="0"/>
    <x v="1"/>
    <x v="1"/>
  </r>
  <r>
    <x v="470"/>
    <s v="Major bar air set."/>
    <s v="Travel"/>
    <n v="252.48"/>
    <x v="0"/>
    <x v="1"/>
    <x v="1"/>
  </r>
  <r>
    <x v="471"/>
    <s v="Ever mrs."/>
    <s v="Salary"/>
    <n v="134.99"/>
    <x v="0"/>
    <x v="1"/>
    <x v="1"/>
  </r>
  <r>
    <x v="472"/>
    <s v="Not significant manager member."/>
    <s v="Salary"/>
    <n v="1197.51"/>
    <x v="0"/>
    <x v="1"/>
    <x v="1"/>
  </r>
  <r>
    <x v="473"/>
    <s v="Environmental myself."/>
    <s v="Investment"/>
    <n v="1676"/>
    <x v="1"/>
    <x v="1"/>
    <x v="1"/>
  </r>
  <r>
    <x v="474"/>
    <s v="State among rest national wrong."/>
    <s v="Food &amp; Drink"/>
    <n v="1233.47"/>
    <x v="0"/>
    <x v="1"/>
    <x v="1"/>
  </r>
  <r>
    <x v="475"/>
    <s v="Fear yourself last."/>
    <s v="Shopping"/>
    <n v="382.75"/>
    <x v="0"/>
    <x v="1"/>
    <x v="1"/>
  </r>
  <r>
    <x v="476"/>
    <s v="Keep yes."/>
    <s v="Health &amp; Fitness"/>
    <n v="144.68"/>
    <x v="0"/>
    <x v="1"/>
    <x v="1"/>
  </r>
  <r>
    <x v="477"/>
    <s v="Specific onto go."/>
    <s v="Food &amp; Drink"/>
    <n v="787"/>
    <x v="0"/>
    <x v="1"/>
    <x v="1"/>
  </r>
  <r>
    <x v="478"/>
    <s v="Pattern size spend."/>
    <s v="Shopping"/>
    <n v="1962.27"/>
    <x v="0"/>
    <x v="1"/>
    <x v="1"/>
  </r>
  <r>
    <x v="479"/>
    <s v="Go exactly much food region."/>
    <s v="Food &amp; Drink"/>
    <n v="720.62"/>
    <x v="0"/>
    <x v="1"/>
    <x v="1"/>
  </r>
  <r>
    <x v="480"/>
    <s v="Environment teach world quickly believe."/>
    <s v="Investment"/>
    <n v="1349"/>
    <x v="1"/>
    <x v="1"/>
    <x v="1"/>
  </r>
  <r>
    <x v="481"/>
    <s v="Yeah term."/>
    <s v="Health &amp; Fitness"/>
    <n v="275.49"/>
    <x v="0"/>
    <x v="1"/>
    <x v="1"/>
  </r>
  <r>
    <x v="482"/>
    <s v="Economic represent stock."/>
    <s v="Health &amp; Fitness"/>
    <n v="1628.88"/>
    <x v="0"/>
    <x v="1"/>
    <x v="1"/>
  </r>
  <r>
    <x v="483"/>
    <s v="Central plan physical heart."/>
    <s v="Other"/>
    <n v="4420"/>
    <x v="1"/>
    <x v="1"/>
    <x v="1"/>
  </r>
  <r>
    <x v="484"/>
    <s v="Idea seek."/>
    <s v="Utilities"/>
    <n v="135.57"/>
    <x v="0"/>
    <x v="1"/>
    <x v="1"/>
  </r>
  <r>
    <x v="485"/>
    <s v="Wear force able similar."/>
    <s v="Salary"/>
    <n v="83.6"/>
    <x v="0"/>
    <x v="1"/>
    <x v="1"/>
  </r>
  <r>
    <x v="486"/>
    <s v="Play recently sure somebody."/>
    <s v="Entertainment"/>
    <n v="1772.72"/>
    <x v="0"/>
    <x v="1"/>
    <x v="1"/>
  </r>
  <r>
    <x v="487"/>
    <s v="Why station manager."/>
    <s v="Travel"/>
    <n v="1035.6099999999999"/>
    <x v="0"/>
    <x v="1"/>
    <x v="1"/>
  </r>
  <r>
    <x v="488"/>
    <s v="Front official not."/>
    <s v="Salary"/>
    <n v="514.09"/>
    <x v="0"/>
    <x v="1"/>
    <x v="1"/>
  </r>
  <r>
    <x v="489"/>
    <s v="Thus several animal phone."/>
    <s v="Entertainment"/>
    <n v="579.36"/>
    <x v="0"/>
    <x v="1"/>
    <x v="1"/>
  </r>
  <r>
    <x v="490"/>
    <s v="Buy tax."/>
    <s v="Food &amp; Drink"/>
    <n v="1732.94"/>
    <x v="0"/>
    <x v="1"/>
    <x v="1"/>
  </r>
  <r>
    <x v="491"/>
    <s v="A when dark read."/>
    <s v="Rent"/>
    <n v="1600.69"/>
    <x v="0"/>
    <x v="1"/>
    <x v="1"/>
  </r>
  <r>
    <x v="492"/>
    <s v="City usually ever."/>
    <s v="Shopping"/>
    <n v="1489.18"/>
    <x v="0"/>
    <x v="1"/>
    <x v="1"/>
  </r>
  <r>
    <x v="493"/>
    <s v="Bar professor power."/>
    <s v="Shopping"/>
    <n v="684.68"/>
    <x v="0"/>
    <x v="1"/>
    <x v="1"/>
  </r>
  <r>
    <x v="494"/>
    <s v="Personal rise sense investment."/>
    <s v="Other"/>
    <n v="3509"/>
    <x v="1"/>
    <x v="1"/>
    <x v="1"/>
  </r>
  <r>
    <x v="495"/>
    <s v="Ability live."/>
    <s v="Travel"/>
    <n v="1604.28"/>
    <x v="0"/>
    <x v="1"/>
    <x v="1"/>
  </r>
  <r>
    <x v="496"/>
    <s v="Difficult quite act receive stage."/>
    <s v="Rent"/>
    <n v="866.91"/>
    <x v="0"/>
    <x v="1"/>
    <x v="1"/>
  </r>
  <r>
    <x v="497"/>
    <s v="Local director become."/>
    <s v="Utilities"/>
    <n v="1095.49"/>
    <x v="0"/>
    <x v="1"/>
    <x v="1"/>
  </r>
  <r>
    <x v="498"/>
    <s v="Finish thing."/>
    <s v="Rent"/>
    <n v="662.56"/>
    <x v="0"/>
    <x v="1"/>
    <x v="1"/>
  </r>
  <r>
    <x v="499"/>
    <s v="Similar send card year."/>
    <s v="Salary"/>
    <n v="1209.22"/>
    <x v="0"/>
    <x v="1"/>
    <x v="1"/>
  </r>
  <r>
    <x v="500"/>
    <s v="Most across."/>
    <s v="Salary"/>
    <n v="709.58"/>
    <x v="0"/>
    <x v="1"/>
    <x v="1"/>
  </r>
  <r>
    <x v="501"/>
    <s v="Goal defense security turn."/>
    <s v="Other"/>
    <n v="4063"/>
    <x v="1"/>
    <x v="1"/>
    <x v="1"/>
  </r>
  <r>
    <x v="502"/>
    <s v="Beautiful beyond sell."/>
    <s v="Food &amp; Drink"/>
    <n v="159.33000000000001"/>
    <x v="0"/>
    <x v="1"/>
    <x v="1"/>
  </r>
  <r>
    <x v="503"/>
    <s v="White fire cause everybody."/>
    <s v="Health &amp; Fitness"/>
    <n v="1031.04"/>
    <x v="0"/>
    <x v="1"/>
    <x v="1"/>
  </r>
  <r>
    <x v="504"/>
    <s v="Network outside parent."/>
    <s v="Utilities"/>
    <n v="1906.05"/>
    <x v="0"/>
    <x v="1"/>
    <x v="1"/>
  </r>
  <r>
    <x v="505"/>
    <s v="Day parent country."/>
    <s v="Other"/>
    <n v="785"/>
    <x v="1"/>
    <x v="1"/>
    <x v="1"/>
  </r>
  <r>
    <x v="506"/>
    <s v="Position six soldier."/>
    <s v="Investment"/>
    <n v="3500"/>
    <x v="1"/>
    <x v="1"/>
    <x v="1"/>
  </r>
  <r>
    <x v="507"/>
    <s v="History drop point audience."/>
    <s v="Food &amp; Drink"/>
    <n v="1214.1400000000001"/>
    <x v="0"/>
    <x v="1"/>
    <x v="1"/>
  </r>
  <r>
    <x v="508"/>
    <s v="Value car team nothing."/>
    <s v="Health &amp; Fitness"/>
    <n v="750.31"/>
    <x v="0"/>
    <x v="1"/>
    <x v="1"/>
  </r>
  <r>
    <x v="509"/>
    <s v="Raise several west side admit."/>
    <s v="Utilities"/>
    <n v="1063.6300000000001"/>
    <x v="0"/>
    <x v="1"/>
    <x v="1"/>
  </r>
  <r>
    <x v="510"/>
    <s v="Energy always."/>
    <s v="Travel"/>
    <n v="506.73"/>
    <x v="0"/>
    <x v="1"/>
    <x v="1"/>
  </r>
  <r>
    <x v="511"/>
    <s v="Media pick may indeed."/>
    <s v="Investment"/>
    <n v="4588"/>
    <x v="1"/>
    <x v="1"/>
    <x v="1"/>
  </r>
  <r>
    <x v="512"/>
    <s v="Policy mrs."/>
    <s v="Rent"/>
    <n v="530.94000000000005"/>
    <x v="0"/>
    <x v="1"/>
    <x v="1"/>
  </r>
  <r>
    <x v="513"/>
    <s v="Base bad tv."/>
    <s v="Salary"/>
    <n v="437"/>
    <x v="0"/>
    <x v="1"/>
    <x v="1"/>
  </r>
  <r>
    <x v="514"/>
    <s v="Force only shake power poor."/>
    <s v="Salary"/>
    <n v="408.35"/>
    <x v="0"/>
    <x v="1"/>
    <x v="1"/>
  </r>
  <r>
    <x v="515"/>
    <s v="Role suffer around beat."/>
    <s v="Investment"/>
    <n v="4203"/>
    <x v="1"/>
    <x v="1"/>
    <x v="1"/>
  </r>
  <r>
    <x v="516"/>
    <s v="Law participant."/>
    <s v="Other"/>
    <n v="1219"/>
    <x v="1"/>
    <x v="1"/>
    <x v="1"/>
  </r>
  <r>
    <x v="517"/>
    <s v="Budget remain reduce."/>
    <s v="Health &amp; Fitness"/>
    <n v="1339"/>
    <x v="0"/>
    <x v="1"/>
    <x v="1"/>
  </r>
  <r>
    <x v="518"/>
    <s v="Well mission situation result."/>
    <s v="Travel"/>
    <n v="1783.75"/>
    <x v="0"/>
    <x v="1"/>
    <x v="1"/>
  </r>
  <r>
    <x v="519"/>
    <s v="Camera sit environmental though."/>
    <s v="Utilities"/>
    <n v="1589.46"/>
    <x v="0"/>
    <x v="1"/>
    <x v="1"/>
  </r>
  <r>
    <x v="520"/>
    <s v="Southern evening ask republican."/>
    <s v="Rent"/>
    <n v="1970.41"/>
    <x v="0"/>
    <x v="1"/>
    <x v="1"/>
  </r>
  <r>
    <x v="521"/>
    <s v="Baby lawyer growth matter note."/>
    <s v="Entertainment"/>
    <n v="1582.84"/>
    <x v="0"/>
    <x v="1"/>
    <x v="1"/>
  </r>
  <r>
    <x v="522"/>
    <s v="Effort bill off."/>
    <s v="Other"/>
    <n v="4328"/>
    <x v="1"/>
    <x v="1"/>
    <x v="1"/>
  </r>
  <r>
    <x v="523"/>
    <s v="Scientist able teach."/>
    <s v="Utilities"/>
    <n v="1227.78"/>
    <x v="0"/>
    <x v="1"/>
    <x v="1"/>
  </r>
  <r>
    <x v="524"/>
    <s v="Animal hair turn."/>
    <s v="Other"/>
    <n v="3761"/>
    <x v="1"/>
    <x v="1"/>
    <x v="1"/>
  </r>
  <r>
    <x v="525"/>
    <s v="Need trial."/>
    <s v="Salary"/>
    <n v="1056.1300000000001"/>
    <x v="0"/>
    <x v="1"/>
    <x v="1"/>
  </r>
  <r>
    <x v="526"/>
    <s v="Focus indicate result."/>
    <s v="Rent"/>
    <n v="259.39999999999998"/>
    <x v="0"/>
    <x v="1"/>
    <x v="1"/>
  </r>
  <r>
    <x v="527"/>
    <s v="Number budget."/>
    <s v="Rent"/>
    <n v="905.45"/>
    <x v="0"/>
    <x v="1"/>
    <x v="1"/>
  </r>
  <r>
    <x v="528"/>
    <s v="Development middle animal."/>
    <s v="Health &amp; Fitness"/>
    <n v="265.39"/>
    <x v="0"/>
    <x v="1"/>
    <x v="1"/>
  </r>
  <r>
    <x v="529"/>
    <s v="Theory tend."/>
    <s v="Utilities"/>
    <n v="1537.89"/>
    <x v="0"/>
    <x v="1"/>
    <x v="1"/>
  </r>
  <r>
    <x v="530"/>
    <s v="Beat lead hard factor."/>
    <s v="Investment"/>
    <n v="1517"/>
    <x v="1"/>
    <x v="1"/>
    <x v="1"/>
  </r>
  <r>
    <x v="531"/>
    <s v="Drug happy will young simply."/>
    <s v="Travel"/>
    <n v="337.67"/>
    <x v="0"/>
    <x v="1"/>
    <x v="1"/>
  </r>
  <r>
    <x v="532"/>
    <s v="Character usually agency."/>
    <s v="Entertainment"/>
    <n v="698.59"/>
    <x v="0"/>
    <x v="1"/>
    <x v="1"/>
  </r>
  <r>
    <x v="533"/>
    <s v="Player really act friend."/>
    <s v="Travel"/>
    <n v="1693.41"/>
    <x v="0"/>
    <x v="1"/>
    <x v="1"/>
  </r>
  <r>
    <x v="534"/>
    <s v="Billion morning draw."/>
    <s v="Travel"/>
    <n v="259.08999999999997"/>
    <x v="0"/>
    <x v="1"/>
    <x v="1"/>
  </r>
  <r>
    <x v="535"/>
    <s v="Win central."/>
    <s v="Rent"/>
    <n v="1010.12"/>
    <x v="0"/>
    <x v="1"/>
    <x v="1"/>
  </r>
  <r>
    <x v="536"/>
    <s v="Analysis discuss."/>
    <s v="Investment"/>
    <n v="1902"/>
    <x v="1"/>
    <x v="1"/>
    <x v="1"/>
  </r>
  <r>
    <x v="537"/>
    <s v="Red head window be."/>
    <s v="Health &amp; Fitness"/>
    <n v="1686.63"/>
    <x v="0"/>
    <x v="1"/>
    <x v="1"/>
  </r>
  <r>
    <x v="538"/>
    <s v="Card star avoid nothing."/>
    <s v="Food &amp; Drink"/>
    <n v="171.63"/>
    <x v="0"/>
    <x v="1"/>
    <x v="1"/>
  </r>
  <r>
    <x v="539"/>
    <s v="Door end fire."/>
    <s v="Travel"/>
    <n v="1305.75"/>
    <x v="0"/>
    <x v="1"/>
    <x v="1"/>
  </r>
  <r>
    <x v="540"/>
    <s v="Fish evening avoid dark."/>
    <s v="Shopping"/>
    <n v="1240.04"/>
    <x v="0"/>
    <x v="1"/>
    <x v="1"/>
  </r>
  <r>
    <x v="541"/>
    <s v="Choice clearly."/>
    <s v="Other"/>
    <n v="2974"/>
    <x v="1"/>
    <x v="1"/>
    <x v="1"/>
  </r>
  <r>
    <x v="542"/>
    <s v="Image movie who debate."/>
    <s v="Shopping"/>
    <n v="601.89"/>
    <x v="0"/>
    <x v="1"/>
    <x v="1"/>
  </r>
  <r>
    <x v="543"/>
    <s v="Enter build citizen rather."/>
    <s v="Investment"/>
    <n v="1794"/>
    <x v="1"/>
    <x v="1"/>
    <x v="1"/>
  </r>
  <r>
    <x v="544"/>
    <s v="Structure foreign before."/>
    <s v="Salary"/>
    <n v="934.24"/>
    <x v="0"/>
    <x v="1"/>
    <x v="1"/>
  </r>
  <r>
    <x v="545"/>
    <s v="How any federal star."/>
    <s v="Utilities"/>
    <n v="632.04"/>
    <x v="0"/>
    <x v="1"/>
    <x v="1"/>
  </r>
  <r>
    <x v="546"/>
    <s v="Weight take."/>
    <s v="Health &amp; Fitness"/>
    <n v="1950.99"/>
    <x v="0"/>
    <x v="1"/>
    <x v="1"/>
  </r>
  <r>
    <x v="547"/>
    <s v="Economic left sound cause activity."/>
    <s v="Other"/>
    <n v="4718"/>
    <x v="1"/>
    <x v="1"/>
    <x v="1"/>
  </r>
  <r>
    <x v="548"/>
    <s v="Cup hundred rather."/>
    <s v="Health &amp; Fitness"/>
    <n v="491.06"/>
    <x v="0"/>
    <x v="1"/>
    <x v="1"/>
  </r>
  <r>
    <x v="549"/>
    <s v="Only true avoid young cup."/>
    <s v="Other"/>
    <n v="2530"/>
    <x v="1"/>
    <x v="1"/>
    <x v="1"/>
  </r>
  <r>
    <x v="550"/>
    <s v="Begin suggest speak."/>
    <s v="Investment"/>
    <n v="2877"/>
    <x v="1"/>
    <x v="1"/>
    <x v="1"/>
  </r>
  <r>
    <x v="551"/>
    <s v="Walk anything."/>
    <s v="Shopping"/>
    <n v="504.06"/>
    <x v="0"/>
    <x v="1"/>
    <x v="1"/>
  </r>
  <r>
    <x v="552"/>
    <s v="Start house ahead raise."/>
    <s v="Utilities"/>
    <n v="1628.82"/>
    <x v="0"/>
    <x v="1"/>
    <x v="1"/>
  </r>
  <r>
    <x v="553"/>
    <s v="Democrat cost evidence third."/>
    <s v="Health &amp; Fitness"/>
    <n v="387.77"/>
    <x v="0"/>
    <x v="1"/>
    <x v="1"/>
  </r>
  <r>
    <x v="554"/>
    <s v="People early far include nearly."/>
    <s v="Other"/>
    <n v="4585"/>
    <x v="1"/>
    <x v="1"/>
    <x v="1"/>
  </r>
  <r>
    <x v="555"/>
    <s v="Evidence case."/>
    <s v="Salary"/>
    <n v="56.12"/>
    <x v="0"/>
    <x v="1"/>
    <x v="1"/>
  </r>
  <r>
    <x v="556"/>
    <s v="Eat yes myself affect him."/>
    <s v="Salary"/>
    <n v="1933.71"/>
    <x v="0"/>
    <x v="1"/>
    <x v="1"/>
  </r>
  <r>
    <x v="557"/>
    <s v="Name machine tree maybe."/>
    <s v="Health &amp; Fitness"/>
    <n v="106.83"/>
    <x v="0"/>
    <x v="1"/>
    <x v="1"/>
  </r>
  <r>
    <x v="558"/>
    <s v="Conference five despite."/>
    <s v="Salary"/>
    <n v="578.64"/>
    <x v="0"/>
    <x v="1"/>
    <x v="1"/>
  </r>
  <r>
    <x v="559"/>
    <s v="Speak line."/>
    <s v="Investment"/>
    <n v="4030"/>
    <x v="1"/>
    <x v="1"/>
    <x v="1"/>
  </r>
  <r>
    <x v="560"/>
    <s v="Yourself wind beyond prevent entire."/>
    <s v="Other"/>
    <n v="3496"/>
    <x v="1"/>
    <x v="1"/>
    <x v="1"/>
  </r>
  <r>
    <x v="561"/>
    <s v="Offer work home."/>
    <s v="Health &amp; Fitness"/>
    <n v="100.03"/>
    <x v="0"/>
    <x v="1"/>
    <x v="1"/>
  </r>
  <r>
    <x v="562"/>
    <s v="Door fish scene."/>
    <s v="Investment"/>
    <n v="3469"/>
    <x v="1"/>
    <x v="1"/>
    <x v="1"/>
  </r>
  <r>
    <x v="563"/>
    <s v="Agreement red way nor none."/>
    <s v="Rent"/>
    <n v="778.83"/>
    <x v="0"/>
    <x v="1"/>
    <x v="1"/>
  </r>
  <r>
    <x v="564"/>
    <s v="My compare also argue."/>
    <s v="Travel"/>
    <n v="1652.37"/>
    <x v="0"/>
    <x v="1"/>
    <x v="1"/>
  </r>
  <r>
    <x v="565"/>
    <s v="Money a."/>
    <s v="Rent"/>
    <n v="266.04000000000002"/>
    <x v="0"/>
    <x v="1"/>
    <x v="1"/>
  </r>
  <r>
    <x v="566"/>
    <s v="Future concern sort."/>
    <s v="Other"/>
    <n v="3277"/>
    <x v="1"/>
    <x v="1"/>
    <x v="1"/>
  </r>
  <r>
    <x v="567"/>
    <s v="Against only."/>
    <s v="Health &amp; Fitness"/>
    <n v="1512.38"/>
    <x v="0"/>
    <x v="1"/>
    <x v="1"/>
  </r>
  <r>
    <x v="568"/>
    <s v="Suffer team."/>
    <s v="Other"/>
    <n v="4596"/>
    <x v="1"/>
    <x v="1"/>
    <x v="1"/>
  </r>
  <r>
    <x v="569"/>
    <s v="Relate product only from."/>
    <s v="Investment"/>
    <n v="1622"/>
    <x v="1"/>
    <x v="1"/>
    <x v="1"/>
  </r>
  <r>
    <x v="570"/>
    <s v="Wish run join."/>
    <s v="Salary"/>
    <n v="1043.47"/>
    <x v="0"/>
    <x v="1"/>
    <x v="1"/>
  </r>
  <r>
    <x v="571"/>
    <s v="Company why really up."/>
    <s v="Investment"/>
    <n v="3186"/>
    <x v="1"/>
    <x v="1"/>
    <x v="1"/>
  </r>
  <r>
    <x v="572"/>
    <s v="Program sport her."/>
    <s v="Health &amp; Fitness"/>
    <n v="333.38"/>
    <x v="0"/>
    <x v="1"/>
    <x v="1"/>
  </r>
  <r>
    <x v="573"/>
    <s v="Concern ability reduce."/>
    <s v="Travel"/>
    <n v="1191.51"/>
    <x v="0"/>
    <x v="1"/>
    <x v="1"/>
  </r>
  <r>
    <x v="574"/>
    <s v="Surface side nothing consider."/>
    <s v="Salary"/>
    <n v="1420.39"/>
    <x v="0"/>
    <x v="1"/>
    <x v="1"/>
  </r>
  <r>
    <x v="575"/>
    <s v="Determine not view cell seat."/>
    <s v="Food &amp; Drink"/>
    <n v="743.03"/>
    <x v="0"/>
    <x v="1"/>
    <x v="1"/>
  </r>
  <r>
    <x v="576"/>
    <s v="Word collection those become."/>
    <s v="Shopping"/>
    <n v="1171.57"/>
    <x v="0"/>
    <x v="1"/>
    <x v="1"/>
  </r>
  <r>
    <x v="577"/>
    <s v="Activity decide really go."/>
    <s v="Food &amp; Drink"/>
    <n v="1197.8499999999999"/>
    <x v="0"/>
    <x v="1"/>
    <x v="1"/>
  </r>
  <r>
    <x v="578"/>
    <s v="Answer just."/>
    <s v="Entertainment"/>
    <n v="1445.59"/>
    <x v="0"/>
    <x v="1"/>
    <x v="1"/>
  </r>
  <r>
    <x v="579"/>
    <s v="This manage her."/>
    <s v="Utilities"/>
    <n v="1053.22"/>
    <x v="0"/>
    <x v="1"/>
    <x v="1"/>
  </r>
  <r>
    <x v="580"/>
    <s v="Big look tell prepare."/>
    <s v="Shopping"/>
    <n v="304.07"/>
    <x v="0"/>
    <x v="1"/>
    <x v="1"/>
  </r>
  <r>
    <x v="581"/>
    <s v="Later son almost."/>
    <s v="Food &amp; Drink"/>
    <n v="1149.4100000000001"/>
    <x v="0"/>
    <x v="1"/>
    <x v="1"/>
  </r>
  <r>
    <x v="582"/>
    <s v="End bit game thousand."/>
    <s v="Entertainment"/>
    <n v="47.69"/>
    <x v="0"/>
    <x v="1"/>
    <x v="1"/>
  </r>
  <r>
    <x v="583"/>
    <s v="Natural together."/>
    <s v="Utilities"/>
    <n v="831.79"/>
    <x v="0"/>
    <x v="1"/>
    <x v="1"/>
  </r>
  <r>
    <x v="584"/>
    <s v="Order party lot all."/>
    <s v="Salary"/>
    <n v="1746.91"/>
    <x v="0"/>
    <x v="1"/>
    <x v="1"/>
  </r>
  <r>
    <x v="585"/>
    <s v="Threat church big day couple."/>
    <s v="Food &amp; Drink"/>
    <n v="1414.49"/>
    <x v="0"/>
    <x v="1"/>
    <x v="1"/>
  </r>
  <r>
    <x v="586"/>
    <s v="Enter example down anyone occur."/>
    <s v="Health &amp; Fitness"/>
    <n v="1996.26"/>
    <x v="0"/>
    <x v="1"/>
    <x v="1"/>
  </r>
  <r>
    <x v="587"/>
    <s v="Approach about because."/>
    <s v="Shopping"/>
    <n v="634.37"/>
    <x v="0"/>
    <x v="1"/>
    <x v="1"/>
  </r>
  <r>
    <x v="588"/>
    <s v="Best deal point."/>
    <s v="Other"/>
    <n v="4975"/>
    <x v="1"/>
    <x v="1"/>
    <x v="1"/>
  </r>
  <r>
    <x v="589"/>
    <s v="Such final however major."/>
    <s v="Travel"/>
    <n v="1224.05"/>
    <x v="0"/>
    <x v="1"/>
    <x v="1"/>
  </r>
  <r>
    <x v="590"/>
    <s v="Politics hold."/>
    <s v="Investment"/>
    <n v="2785"/>
    <x v="1"/>
    <x v="1"/>
    <x v="1"/>
  </r>
  <r>
    <x v="591"/>
    <s v="Hard knowledge enjoy let."/>
    <s v="Entertainment"/>
    <n v="1883.56"/>
    <x v="0"/>
    <x v="1"/>
    <x v="1"/>
  </r>
  <r>
    <x v="592"/>
    <s v="Nor character recent."/>
    <s v="Travel"/>
    <n v="1412.75"/>
    <x v="0"/>
    <x v="1"/>
    <x v="1"/>
  </r>
  <r>
    <x v="593"/>
    <s v="Property space."/>
    <s v="Salary"/>
    <n v="640.91"/>
    <x v="0"/>
    <x v="1"/>
    <x v="1"/>
  </r>
  <r>
    <x v="594"/>
    <s v="Dinner article hit mission whole."/>
    <s v="Travel"/>
    <n v="582.70000000000005"/>
    <x v="0"/>
    <x v="1"/>
    <x v="1"/>
  </r>
  <r>
    <x v="595"/>
    <s v="Think live bad total research."/>
    <s v="Shopping"/>
    <n v="1792.56"/>
    <x v="0"/>
    <x v="1"/>
    <x v="1"/>
  </r>
  <r>
    <x v="596"/>
    <s v="Too song quality per build."/>
    <s v="Health &amp; Fitness"/>
    <n v="1909.67"/>
    <x v="0"/>
    <x v="1"/>
    <x v="1"/>
  </r>
  <r>
    <x v="597"/>
    <s v="We cold deep."/>
    <s v="Travel"/>
    <n v="93.71"/>
    <x v="0"/>
    <x v="1"/>
    <x v="1"/>
  </r>
  <r>
    <x v="598"/>
    <s v="Amount bad raise."/>
    <s v="Rent"/>
    <n v="699.26"/>
    <x v="0"/>
    <x v="1"/>
    <x v="1"/>
  </r>
  <r>
    <x v="599"/>
    <s v="Challenge organization floor road southern."/>
    <s v="Travel"/>
    <n v="1497.2"/>
    <x v="0"/>
    <x v="1"/>
    <x v="1"/>
  </r>
  <r>
    <x v="600"/>
    <s v="News need task mind."/>
    <s v="Travel"/>
    <n v="1866.72"/>
    <x v="0"/>
    <x v="1"/>
    <x v="1"/>
  </r>
  <r>
    <x v="601"/>
    <s v="Onto site both change note."/>
    <s v="Utilities"/>
    <n v="227.36"/>
    <x v="0"/>
    <x v="1"/>
    <x v="1"/>
  </r>
  <r>
    <x v="602"/>
    <s v="Understand none."/>
    <s v="Entertainment"/>
    <n v="492.49"/>
    <x v="0"/>
    <x v="1"/>
    <x v="1"/>
  </r>
  <r>
    <x v="603"/>
    <s v="Test they there."/>
    <s v="Entertainment"/>
    <n v="1279.51"/>
    <x v="0"/>
    <x v="1"/>
    <x v="1"/>
  </r>
  <r>
    <x v="604"/>
    <s v="Pressure occur list common."/>
    <s v="Other"/>
    <n v="3205"/>
    <x v="1"/>
    <x v="1"/>
    <x v="1"/>
  </r>
  <r>
    <x v="605"/>
    <s v="Peace race i."/>
    <s v="Rent"/>
    <n v="1365.57"/>
    <x v="0"/>
    <x v="1"/>
    <x v="1"/>
  </r>
  <r>
    <x v="606"/>
    <s v="Real any little environmental."/>
    <s v="Investment"/>
    <n v="3833"/>
    <x v="1"/>
    <x v="1"/>
    <x v="1"/>
  </r>
  <r>
    <x v="607"/>
    <s v="Full soldier."/>
    <s v="Salary"/>
    <n v="960.12"/>
    <x v="0"/>
    <x v="1"/>
    <x v="1"/>
  </r>
  <r>
    <x v="608"/>
    <s v="Successful teach range."/>
    <s v="Other"/>
    <n v="3131"/>
    <x v="1"/>
    <x v="1"/>
    <x v="1"/>
  </r>
  <r>
    <x v="609"/>
    <s v="Feel season similar."/>
    <s v="Food &amp; Drink"/>
    <n v="1816.79"/>
    <x v="0"/>
    <x v="1"/>
    <x v="1"/>
  </r>
  <r>
    <x v="610"/>
    <s v="Rock painting become."/>
    <s v="Investment"/>
    <n v="4883"/>
    <x v="1"/>
    <x v="1"/>
    <x v="1"/>
  </r>
  <r>
    <x v="611"/>
    <s v="Tree imagine machine."/>
    <s v="Food &amp; Drink"/>
    <n v="1827.33"/>
    <x v="0"/>
    <x v="1"/>
    <x v="1"/>
  </r>
  <r>
    <x v="612"/>
    <s v="Start middle city find."/>
    <s v="Investment"/>
    <n v="797"/>
    <x v="1"/>
    <x v="1"/>
    <x v="1"/>
  </r>
  <r>
    <x v="613"/>
    <s v="Career surface these ahead."/>
    <s v="Shopping"/>
    <n v="1578.04"/>
    <x v="0"/>
    <x v="1"/>
    <x v="1"/>
  </r>
  <r>
    <x v="614"/>
    <s v="Student economic lead."/>
    <s v="Other"/>
    <n v="806"/>
    <x v="1"/>
    <x v="1"/>
    <x v="1"/>
  </r>
  <r>
    <x v="615"/>
    <s v="Ever statement measure."/>
    <s v="Investment"/>
    <n v="3244"/>
    <x v="1"/>
    <x v="1"/>
    <x v="1"/>
  </r>
  <r>
    <x v="616"/>
    <s v="Drop major."/>
    <s v="Salary"/>
    <n v="1779.63"/>
    <x v="0"/>
    <x v="1"/>
    <x v="1"/>
  </r>
  <r>
    <x v="617"/>
    <s v="Whether listen necessary."/>
    <s v="Other"/>
    <n v="2735"/>
    <x v="1"/>
    <x v="1"/>
    <x v="1"/>
  </r>
  <r>
    <x v="618"/>
    <s v="Study else store."/>
    <s v="Investment"/>
    <n v="3208"/>
    <x v="1"/>
    <x v="1"/>
    <x v="1"/>
  </r>
  <r>
    <x v="619"/>
    <s v="Agree anyone take."/>
    <s v="Other"/>
    <n v="2607"/>
    <x v="1"/>
    <x v="1"/>
    <x v="1"/>
  </r>
  <r>
    <x v="620"/>
    <s v="Positive question especially."/>
    <s v="Food &amp; Drink"/>
    <n v="1475.87"/>
    <x v="0"/>
    <x v="1"/>
    <x v="1"/>
  </r>
  <r>
    <x v="621"/>
    <s v="After sister should across treatment."/>
    <s v="Entertainment"/>
    <n v="359.23"/>
    <x v="0"/>
    <x v="1"/>
    <x v="1"/>
  </r>
  <r>
    <x v="622"/>
    <s v="Song difference part wall require."/>
    <s v="Shopping"/>
    <n v="1655.71"/>
    <x v="0"/>
    <x v="1"/>
    <x v="1"/>
  </r>
  <r>
    <x v="623"/>
    <s v="Time surface learn design."/>
    <s v="Rent"/>
    <n v="807.66"/>
    <x v="0"/>
    <x v="1"/>
    <x v="1"/>
  </r>
  <r>
    <x v="624"/>
    <s v="Station however bill memory production."/>
    <s v="Investment"/>
    <n v="4411"/>
    <x v="1"/>
    <x v="1"/>
    <x v="1"/>
  </r>
  <r>
    <x v="625"/>
    <s v="Positive participant fear blue as."/>
    <s v="Entertainment"/>
    <n v="23.59"/>
    <x v="0"/>
    <x v="1"/>
    <x v="1"/>
  </r>
  <r>
    <x v="626"/>
    <s v="Technology end represent throughout."/>
    <s v="Salary"/>
    <n v="1509.98"/>
    <x v="0"/>
    <x v="1"/>
    <x v="1"/>
  </r>
  <r>
    <x v="627"/>
    <s v="Change she tonight."/>
    <s v="Travel"/>
    <n v="1169.0999999999999"/>
    <x v="0"/>
    <x v="1"/>
    <x v="1"/>
  </r>
  <r>
    <x v="628"/>
    <s v="Race return pretty young."/>
    <s v="Travel"/>
    <n v="1310.83"/>
    <x v="0"/>
    <x v="1"/>
    <x v="1"/>
  </r>
  <r>
    <x v="629"/>
    <s v="Identify say on yes."/>
    <s v="Food &amp; Drink"/>
    <n v="1338.89"/>
    <x v="0"/>
    <x v="1"/>
    <x v="1"/>
  </r>
  <r>
    <x v="630"/>
    <s v="Risk develop movement size."/>
    <s v="Utilities"/>
    <n v="816.78"/>
    <x v="0"/>
    <x v="1"/>
    <x v="1"/>
  </r>
  <r>
    <x v="631"/>
    <s v="Feel color price next."/>
    <s v="Travel"/>
    <n v="1383.68"/>
    <x v="0"/>
    <x v="1"/>
    <x v="1"/>
  </r>
  <r>
    <x v="632"/>
    <s v="Likely scientist."/>
    <s v="Travel"/>
    <n v="741.41"/>
    <x v="0"/>
    <x v="1"/>
    <x v="1"/>
  </r>
  <r>
    <x v="633"/>
    <s v="Water tonight pressure."/>
    <s v="Utilities"/>
    <n v="961.58"/>
    <x v="0"/>
    <x v="1"/>
    <x v="1"/>
  </r>
  <r>
    <x v="634"/>
    <s v="Development the inside thought."/>
    <s v="Health &amp; Fitness"/>
    <n v="837.53"/>
    <x v="0"/>
    <x v="1"/>
    <x v="1"/>
  </r>
  <r>
    <x v="635"/>
    <s v="One less brother."/>
    <s v="Salary"/>
    <n v="1517.13"/>
    <x v="0"/>
    <x v="1"/>
    <x v="1"/>
  </r>
  <r>
    <x v="636"/>
    <s v="Oil per line create build."/>
    <s v="Entertainment"/>
    <n v="1526.1"/>
    <x v="0"/>
    <x v="1"/>
    <x v="1"/>
  </r>
  <r>
    <x v="637"/>
    <s v="Fear approach take case customer."/>
    <s v="Rent"/>
    <n v="1055.76"/>
    <x v="0"/>
    <x v="1"/>
    <x v="1"/>
  </r>
  <r>
    <x v="638"/>
    <s v="Throughout would century television congress."/>
    <s v="Health &amp; Fitness"/>
    <n v="165.42"/>
    <x v="0"/>
    <x v="1"/>
    <x v="1"/>
  </r>
  <r>
    <x v="639"/>
    <s v="Forward would finish around."/>
    <s v="Food &amp; Drink"/>
    <n v="1659.26"/>
    <x v="0"/>
    <x v="1"/>
    <x v="1"/>
  </r>
  <r>
    <x v="640"/>
    <s v="Decide similar office."/>
    <s v="Entertainment"/>
    <n v="1149.68"/>
    <x v="0"/>
    <x v="1"/>
    <x v="1"/>
  </r>
  <r>
    <x v="641"/>
    <s v="Size sister can its."/>
    <s v="Other"/>
    <n v="4762"/>
    <x v="1"/>
    <x v="1"/>
    <x v="1"/>
  </r>
  <r>
    <x v="642"/>
    <s v="Investment local above move."/>
    <s v="Entertainment"/>
    <n v="1436.67"/>
    <x v="0"/>
    <x v="1"/>
    <x v="1"/>
  </r>
  <r>
    <x v="643"/>
    <s v="Throughout series."/>
    <s v="Salary"/>
    <n v="1619.3"/>
    <x v="0"/>
    <x v="1"/>
    <x v="1"/>
  </r>
  <r>
    <x v="644"/>
    <s v="Adult above safe."/>
    <s v="Shopping"/>
    <n v="919.03"/>
    <x v="0"/>
    <x v="1"/>
    <x v="1"/>
  </r>
  <r>
    <x v="645"/>
    <s v="Fine bill me fill."/>
    <s v="Other"/>
    <n v="3024"/>
    <x v="1"/>
    <x v="1"/>
    <x v="1"/>
  </r>
  <r>
    <x v="646"/>
    <s v="Fear fact."/>
    <s v="Shopping"/>
    <n v="516.37"/>
    <x v="0"/>
    <x v="1"/>
    <x v="1"/>
  </r>
  <r>
    <x v="647"/>
    <s v="Model its rather card you."/>
    <s v="Investment"/>
    <n v="1098"/>
    <x v="1"/>
    <x v="1"/>
    <x v="1"/>
  </r>
  <r>
    <x v="648"/>
    <s v="Seek close trade speech."/>
    <s v="Other"/>
    <n v="1022"/>
    <x v="1"/>
    <x v="1"/>
    <x v="1"/>
  </r>
  <r>
    <x v="649"/>
    <s v="Difference world deep."/>
    <s v="Food &amp; Drink"/>
    <n v="1869.82"/>
    <x v="0"/>
    <x v="1"/>
    <x v="1"/>
  </r>
  <r>
    <x v="650"/>
    <s v="Mean but represent society heart."/>
    <s v="Other"/>
    <n v="759"/>
    <x v="1"/>
    <x v="1"/>
    <x v="1"/>
  </r>
  <r>
    <x v="651"/>
    <s v="Perhaps order answer blue structure."/>
    <s v="Utilities"/>
    <n v="1540.25"/>
    <x v="0"/>
    <x v="1"/>
    <x v="1"/>
  </r>
  <r>
    <x v="652"/>
    <s v="Indicate herself."/>
    <s v="Shopping"/>
    <n v="755.18"/>
    <x v="0"/>
    <x v="1"/>
    <x v="1"/>
  </r>
  <r>
    <x v="653"/>
    <s v="Listen check receive."/>
    <s v="Salary"/>
    <n v="1740.54"/>
    <x v="0"/>
    <x v="1"/>
    <x v="1"/>
  </r>
  <r>
    <x v="654"/>
    <s v="Inside big minute."/>
    <s v="Shopping"/>
    <n v="169.7"/>
    <x v="0"/>
    <x v="1"/>
    <x v="1"/>
  </r>
  <r>
    <x v="655"/>
    <s v="Store bit responsibility brother."/>
    <s v="Utilities"/>
    <n v="1310.53"/>
    <x v="0"/>
    <x v="1"/>
    <x v="1"/>
  </r>
  <r>
    <x v="656"/>
    <s v="Marriage participant."/>
    <s v="Utilities"/>
    <n v="1985.77"/>
    <x v="0"/>
    <x v="1"/>
    <x v="1"/>
  </r>
  <r>
    <x v="657"/>
    <s v="Win group important civil nature."/>
    <s v="Utilities"/>
    <n v="1458.44"/>
    <x v="0"/>
    <x v="1"/>
    <x v="1"/>
  </r>
  <r>
    <x v="658"/>
    <s v="Former able public trade."/>
    <s v="Food &amp; Drink"/>
    <n v="1514.8"/>
    <x v="0"/>
    <x v="1"/>
    <x v="1"/>
  </r>
  <r>
    <x v="659"/>
    <s v="Chance bed memory rich."/>
    <s v="Salary"/>
    <n v="1350.26"/>
    <x v="0"/>
    <x v="1"/>
    <x v="1"/>
  </r>
  <r>
    <x v="660"/>
    <s v="Popular lead with."/>
    <s v="Shopping"/>
    <n v="1648.49"/>
    <x v="0"/>
    <x v="1"/>
    <x v="1"/>
  </r>
  <r>
    <x v="661"/>
    <s v="Anyone spend them system."/>
    <s v="Health &amp; Fitness"/>
    <n v="318.69"/>
    <x v="0"/>
    <x v="1"/>
    <x v="1"/>
  </r>
  <r>
    <x v="662"/>
    <s v="International break surface three."/>
    <s v="Investment"/>
    <n v="763"/>
    <x v="1"/>
    <x v="1"/>
    <x v="1"/>
  </r>
  <r>
    <x v="663"/>
    <s v="Professional color group."/>
    <s v="Shopping"/>
    <n v="1233.7"/>
    <x v="0"/>
    <x v="1"/>
    <x v="1"/>
  </r>
  <r>
    <x v="664"/>
    <s v="Environmental run head garden box."/>
    <s v="Food &amp; Drink"/>
    <n v="488.93"/>
    <x v="0"/>
    <x v="1"/>
    <x v="1"/>
  </r>
  <r>
    <x v="665"/>
    <s v="Even history surface son."/>
    <s v="Investment"/>
    <n v="4157"/>
    <x v="1"/>
    <x v="1"/>
    <x v="1"/>
  </r>
  <r>
    <x v="666"/>
    <s v="Car risk."/>
    <s v="Food &amp; Drink"/>
    <n v="497.02"/>
    <x v="0"/>
    <x v="1"/>
    <x v="1"/>
  </r>
  <r>
    <x v="667"/>
    <s v="Indeed opportunity."/>
    <s v="Other"/>
    <n v="2419"/>
    <x v="1"/>
    <x v="1"/>
    <x v="1"/>
  </r>
  <r>
    <x v="668"/>
    <s v="Consider here grow agreement."/>
    <s v="Food &amp; Drink"/>
    <n v="288.87"/>
    <x v="0"/>
    <x v="1"/>
    <x v="1"/>
  </r>
  <r>
    <x v="669"/>
    <s v="Turn both in animal."/>
    <s v="Entertainment"/>
    <n v="1633.41"/>
    <x v="0"/>
    <x v="1"/>
    <x v="1"/>
  </r>
  <r>
    <x v="670"/>
    <s v="Actually than modern season."/>
    <s v="Health &amp; Fitness"/>
    <n v="1159.17"/>
    <x v="0"/>
    <x v="1"/>
    <x v="1"/>
  </r>
  <r>
    <x v="671"/>
    <s v="Within prove full."/>
    <s v="Health &amp; Fitness"/>
    <n v="481.44"/>
    <x v="0"/>
    <x v="1"/>
    <x v="1"/>
  </r>
  <r>
    <x v="672"/>
    <s v="Believe product eat generation put."/>
    <s v="Entertainment"/>
    <n v="832.98"/>
    <x v="0"/>
    <x v="1"/>
    <x v="1"/>
  </r>
  <r>
    <x v="673"/>
    <s v="Stuff next write."/>
    <s v="Utilities"/>
    <n v="1255.73"/>
    <x v="0"/>
    <x v="1"/>
    <x v="1"/>
  </r>
  <r>
    <x v="674"/>
    <s v="Poor church."/>
    <s v="Salary"/>
    <n v="103.3"/>
    <x v="0"/>
    <x v="1"/>
    <x v="1"/>
  </r>
  <r>
    <x v="675"/>
    <s v="Thank avoid man drive."/>
    <s v="Shopping"/>
    <n v="1573.75"/>
    <x v="0"/>
    <x v="1"/>
    <x v="1"/>
  </r>
  <r>
    <x v="676"/>
    <s v="Medical nearly."/>
    <s v="Shopping"/>
    <n v="822.44"/>
    <x v="0"/>
    <x v="1"/>
    <x v="1"/>
  </r>
  <r>
    <x v="677"/>
    <s v="Stage bad know of."/>
    <s v="Utilities"/>
    <n v="1511.29"/>
    <x v="0"/>
    <x v="1"/>
    <x v="1"/>
  </r>
  <r>
    <x v="678"/>
    <s v="Language budget market president."/>
    <s v="Entertainment"/>
    <n v="608.47"/>
    <x v="0"/>
    <x v="1"/>
    <x v="1"/>
  </r>
  <r>
    <x v="679"/>
    <s v="Include news a before."/>
    <s v="Salary"/>
    <n v="1830.33"/>
    <x v="0"/>
    <x v="1"/>
    <x v="1"/>
  </r>
  <r>
    <x v="680"/>
    <s v="None pressure lay future stay."/>
    <s v="Shopping"/>
    <n v="1119"/>
    <x v="0"/>
    <x v="1"/>
    <x v="1"/>
  </r>
  <r>
    <x v="681"/>
    <s v="Forward should outside respond."/>
    <s v="Investment"/>
    <n v="2588"/>
    <x v="1"/>
    <x v="1"/>
    <x v="1"/>
  </r>
  <r>
    <x v="682"/>
    <s v="Box service develop game."/>
    <s v="Rent"/>
    <n v="1845.23"/>
    <x v="0"/>
    <x v="1"/>
    <x v="1"/>
  </r>
  <r>
    <x v="683"/>
    <s v="Miss reduce animal clearly cell."/>
    <s v="Rent"/>
    <n v="1075.9100000000001"/>
    <x v="0"/>
    <x v="1"/>
    <x v="1"/>
  </r>
  <r>
    <x v="684"/>
    <s v="Effect cultural."/>
    <s v="Food &amp; Drink"/>
    <n v="544.24"/>
    <x v="0"/>
    <x v="1"/>
    <x v="1"/>
  </r>
  <r>
    <x v="685"/>
    <s v="Democratic station course full."/>
    <s v="Food &amp; Drink"/>
    <n v="1748.5"/>
    <x v="0"/>
    <x v="1"/>
    <x v="1"/>
  </r>
  <r>
    <x v="686"/>
    <s v="Unit study."/>
    <s v="Investment"/>
    <n v="4427"/>
    <x v="1"/>
    <x v="1"/>
    <x v="1"/>
  </r>
  <r>
    <x v="687"/>
    <s v="Leader operation mean white."/>
    <s v="Health &amp; Fitness"/>
    <n v="613.34"/>
    <x v="0"/>
    <x v="1"/>
    <x v="1"/>
  </r>
  <r>
    <x v="688"/>
    <s v="Save network item one under."/>
    <s v="Entertainment"/>
    <n v="1874.95"/>
    <x v="0"/>
    <x v="1"/>
    <x v="1"/>
  </r>
  <r>
    <x v="689"/>
    <s v="Community spring billion price paper."/>
    <s v="Rent"/>
    <n v="1496.29"/>
    <x v="0"/>
    <x v="1"/>
    <x v="1"/>
  </r>
  <r>
    <x v="690"/>
    <s v="Thing industry participant realize."/>
    <s v="Entertainment"/>
    <n v="1394.3"/>
    <x v="0"/>
    <x v="1"/>
    <x v="1"/>
  </r>
  <r>
    <x v="691"/>
    <s v="Huge garden family."/>
    <s v="Shopping"/>
    <n v="1831.1"/>
    <x v="0"/>
    <x v="1"/>
    <x v="1"/>
  </r>
  <r>
    <x v="692"/>
    <s v="Include record security."/>
    <s v="Travel"/>
    <n v="767.52"/>
    <x v="0"/>
    <x v="1"/>
    <x v="1"/>
  </r>
  <r>
    <x v="693"/>
    <s v="Team republican very plan cut."/>
    <s v="Health &amp; Fitness"/>
    <n v="623.76"/>
    <x v="0"/>
    <x v="1"/>
    <x v="1"/>
  </r>
  <r>
    <x v="694"/>
    <s v="Tv car report window."/>
    <s v="Salary"/>
    <n v="937.35"/>
    <x v="0"/>
    <x v="1"/>
    <x v="1"/>
  </r>
  <r>
    <x v="695"/>
    <s v="My pm report set."/>
    <s v="Salary"/>
    <n v="1525.64"/>
    <x v="0"/>
    <x v="1"/>
    <x v="1"/>
  </r>
  <r>
    <x v="696"/>
    <s v="Old wall report purpose."/>
    <s v="Entertainment"/>
    <n v="747.7"/>
    <x v="0"/>
    <x v="1"/>
    <x v="1"/>
  </r>
  <r>
    <x v="697"/>
    <s v="There institution actually."/>
    <s v="Entertainment"/>
    <n v="1485.09"/>
    <x v="0"/>
    <x v="1"/>
    <x v="1"/>
  </r>
  <r>
    <x v="698"/>
    <s v="Herself apply."/>
    <s v="Other"/>
    <n v="2918"/>
    <x v="1"/>
    <x v="1"/>
    <x v="1"/>
  </r>
  <r>
    <x v="699"/>
    <s v="Environment size worker."/>
    <s v="Other"/>
    <n v="2384"/>
    <x v="1"/>
    <x v="1"/>
    <x v="1"/>
  </r>
  <r>
    <x v="700"/>
    <s v="Style real far."/>
    <s v="Entertainment"/>
    <n v="1003.61"/>
    <x v="0"/>
    <x v="1"/>
    <x v="1"/>
  </r>
  <r>
    <x v="701"/>
    <s v="Grow laugh."/>
    <s v="Health &amp; Fitness"/>
    <n v="522.08000000000004"/>
    <x v="0"/>
    <x v="1"/>
    <x v="1"/>
  </r>
  <r>
    <x v="702"/>
    <s v="Score night down."/>
    <s v="Salary"/>
    <n v="927.05"/>
    <x v="0"/>
    <x v="1"/>
    <x v="1"/>
  </r>
  <r>
    <x v="703"/>
    <s v="Unit hold."/>
    <s v="Health &amp; Fitness"/>
    <n v="346.84"/>
    <x v="0"/>
    <x v="1"/>
    <x v="1"/>
  </r>
  <r>
    <x v="704"/>
    <s v="Approach season data than team."/>
    <s v="Salary"/>
    <n v="376.26"/>
    <x v="0"/>
    <x v="1"/>
    <x v="1"/>
  </r>
  <r>
    <x v="705"/>
    <s v="Treatment relate positive."/>
    <s v="Food &amp; Drink"/>
    <n v="1052.6500000000001"/>
    <x v="0"/>
    <x v="1"/>
    <x v="1"/>
  </r>
  <r>
    <x v="706"/>
    <s v="Cultural right cover large work."/>
    <s v="Rent"/>
    <n v="1890.92"/>
    <x v="0"/>
    <x v="1"/>
    <x v="1"/>
  </r>
  <r>
    <x v="707"/>
    <s v="While same budget."/>
    <s v="Food &amp; Drink"/>
    <n v="830.66"/>
    <x v="0"/>
    <x v="1"/>
    <x v="1"/>
  </r>
  <r>
    <x v="708"/>
    <s v="Evidence enough claim suffer."/>
    <s v="Entertainment"/>
    <n v="145.26"/>
    <x v="0"/>
    <x v="1"/>
    <x v="1"/>
  </r>
  <r>
    <x v="709"/>
    <s v="Letter visit always up."/>
    <s v="Investment"/>
    <n v="4642"/>
    <x v="1"/>
    <x v="1"/>
    <x v="1"/>
  </r>
  <r>
    <x v="710"/>
    <s v="Past product make of group."/>
    <s v="Food &amp; Drink"/>
    <n v="1239.49"/>
    <x v="0"/>
    <x v="1"/>
    <x v="1"/>
  </r>
  <r>
    <x v="711"/>
    <s v="Detail contain attention measure indeed."/>
    <s v="Salary"/>
    <n v="1321.98"/>
    <x v="0"/>
    <x v="1"/>
    <x v="1"/>
  </r>
  <r>
    <x v="712"/>
    <s v="Begin determine degree forward."/>
    <s v="Other"/>
    <n v="597"/>
    <x v="1"/>
    <x v="1"/>
    <x v="1"/>
  </r>
  <r>
    <x v="713"/>
    <s v="Despite sell most."/>
    <s v="Other"/>
    <n v="4888"/>
    <x v="1"/>
    <x v="1"/>
    <x v="1"/>
  </r>
  <r>
    <x v="714"/>
    <s v="Boy generation."/>
    <s v="Food &amp; Drink"/>
    <n v="1009.41"/>
    <x v="0"/>
    <x v="1"/>
    <x v="1"/>
  </r>
  <r>
    <x v="715"/>
    <s v="Truth during always those high."/>
    <s v="Shopping"/>
    <n v="1614.27"/>
    <x v="0"/>
    <x v="1"/>
    <x v="1"/>
  </r>
  <r>
    <x v="716"/>
    <s v="Either rich agency might."/>
    <s v="Rent"/>
    <n v="1836.92"/>
    <x v="0"/>
    <x v="1"/>
    <x v="1"/>
  </r>
  <r>
    <x v="717"/>
    <s v="Sort knowledge analysis together court."/>
    <s v="Entertainment"/>
    <n v="391.94"/>
    <x v="0"/>
    <x v="1"/>
    <x v="1"/>
  </r>
  <r>
    <x v="718"/>
    <s v="Way cold."/>
    <s v="Health &amp; Fitness"/>
    <n v="541.98"/>
    <x v="0"/>
    <x v="1"/>
    <x v="1"/>
  </r>
  <r>
    <x v="719"/>
    <s v="Account assume prove similar ten."/>
    <s v="Health &amp; Fitness"/>
    <n v="1919"/>
    <x v="0"/>
    <x v="1"/>
    <x v="1"/>
  </r>
  <r>
    <x v="720"/>
    <s v="Day stock."/>
    <s v="Entertainment"/>
    <n v="1980.56"/>
    <x v="0"/>
    <x v="1"/>
    <x v="1"/>
  </r>
  <r>
    <x v="721"/>
    <s v="Section child."/>
    <s v="Rent"/>
    <n v="1310.93"/>
    <x v="0"/>
    <x v="1"/>
    <x v="1"/>
  </r>
  <r>
    <x v="722"/>
    <s v="Also available concern edge."/>
    <s v="Food &amp; Drink"/>
    <n v="196.07"/>
    <x v="0"/>
    <x v="1"/>
    <x v="1"/>
  </r>
  <r>
    <x v="723"/>
    <s v="Start treat imagine later identify."/>
    <s v="Salary"/>
    <n v="121.67"/>
    <x v="0"/>
    <x v="1"/>
    <x v="1"/>
  </r>
  <r>
    <x v="724"/>
    <s v="Hope brother."/>
    <s v="Investment"/>
    <n v="1177"/>
    <x v="1"/>
    <x v="1"/>
    <x v="1"/>
  </r>
  <r>
    <x v="725"/>
    <s v="As second animal summer group."/>
    <s v="Shopping"/>
    <n v="1293.3699999999999"/>
    <x v="0"/>
    <x v="1"/>
    <x v="1"/>
  </r>
  <r>
    <x v="726"/>
    <s v="Face rate."/>
    <s v="Rent"/>
    <n v="1790.63"/>
    <x v="0"/>
    <x v="1"/>
    <x v="1"/>
  </r>
  <r>
    <x v="727"/>
    <s v="She join house."/>
    <s v="Entertainment"/>
    <n v="430.72"/>
    <x v="0"/>
    <x v="1"/>
    <x v="1"/>
  </r>
  <r>
    <x v="728"/>
    <s v="Choose detail section someone."/>
    <s v="Salary"/>
    <n v="549.48"/>
    <x v="0"/>
    <x v="1"/>
    <x v="1"/>
  </r>
  <r>
    <x v="729"/>
    <s v="Whether century quality."/>
    <s v="Travel"/>
    <n v="1799.63"/>
    <x v="0"/>
    <x v="1"/>
    <x v="1"/>
  </r>
  <r>
    <x v="730"/>
    <s v="Network never."/>
    <s v="Food &amp; Drink"/>
    <n v="366.92"/>
    <x v="0"/>
    <x v="2"/>
    <x v="2"/>
  </r>
  <r>
    <x v="731"/>
    <s v="Above others."/>
    <s v="Food &amp; Drink"/>
    <n v="1923.32"/>
    <x v="0"/>
    <x v="2"/>
    <x v="2"/>
  </r>
  <r>
    <x v="732"/>
    <s v="Water fight security tough gas."/>
    <s v="Shopping"/>
    <n v="1858.46"/>
    <x v="0"/>
    <x v="2"/>
    <x v="2"/>
  </r>
  <r>
    <x v="733"/>
    <s v="Central contain pattern education boy."/>
    <s v="Entertainment"/>
    <n v="1137.72"/>
    <x v="0"/>
    <x v="2"/>
    <x v="2"/>
  </r>
  <r>
    <x v="734"/>
    <s v="Surface usually."/>
    <s v="Health &amp; Fitness"/>
    <n v="773.85"/>
    <x v="0"/>
    <x v="2"/>
    <x v="2"/>
  </r>
  <r>
    <x v="735"/>
    <s v="Popular available public economy."/>
    <s v="Rent"/>
    <n v="1006.58"/>
    <x v="0"/>
    <x v="2"/>
    <x v="2"/>
  </r>
  <r>
    <x v="736"/>
    <s v="Maintain former campaign pretty beyond."/>
    <s v="Food &amp; Drink"/>
    <n v="204.39"/>
    <x v="0"/>
    <x v="2"/>
    <x v="2"/>
  </r>
  <r>
    <x v="737"/>
    <s v="Fish late pattern."/>
    <s v="Rent"/>
    <n v="687.78"/>
    <x v="0"/>
    <x v="2"/>
    <x v="2"/>
  </r>
  <r>
    <x v="738"/>
    <s v="Charge note space when collection."/>
    <s v="Shopping"/>
    <n v="1938.15"/>
    <x v="0"/>
    <x v="2"/>
    <x v="2"/>
  </r>
  <r>
    <x v="739"/>
    <s v="Size republican political."/>
    <s v="Travel"/>
    <n v="1569.26"/>
    <x v="0"/>
    <x v="2"/>
    <x v="2"/>
  </r>
  <r>
    <x v="740"/>
    <s v="Care run there leg."/>
    <s v="Entertainment"/>
    <n v="718.06"/>
    <x v="0"/>
    <x v="2"/>
    <x v="2"/>
  </r>
  <r>
    <x v="741"/>
    <s v="Main board population."/>
    <s v="Shopping"/>
    <n v="379.62"/>
    <x v="0"/>
    <x v="2"/>
    <x v="2"/>
  </r>
  <r>
    <x v="742"/>
    <s v="Teach cause mrs."/>
    <s v="Shopping"/>
    <n v="180.53"/>
    <x v="0"/>
    <x v="2"/>
    <x v="2"/>
  </r>
  <r>
    <x v="743"/>
    <s v="Baby away affect medical all."/>
    <s v="Entertainment"/>
    <n v="1429.09"/>
    <x v="0"/>
    <x v="2"/>
    <x v="2"/>
  </r>
  <r>
    <x v="744"/>
    <s v="If operation trade necessary myself."/>
    <s v="Investment"/>
    <n v="3612"/>
    <x v="1"/>
    <x v="2"/>
    <x v="2"/>
  </r>
  <r>
    <x v="745"/>
    <s v="President chance hotel through."/>
    <s v="Utilities"/>
    <n v="1481.91"/>
    <x v="0"/>
    <x v="2"/>
    <x v="2"/>
  </r>
  <r>
    <x v="746"/>
    <s v="Let member however."/>
    <s v="Rent"/>
    <n v="192.13"/>
    <x v="0"/>
    <x v="2"/>
    <x v="2"/>
  </r>
  <r>
    <x v="747"/>
    <s v="Production summer."/>
    <s v="Salary"/>
    <n v="726.24"/>
    <x v="0"/>
    <x v="2"/>
    <x v="2"/>
  </r>
  <r>
    <x v="748"/>
    <s v="Cell city not not the."/>
    <s v="Utilities"/>
    <n v="183.72"/>
    <x v="0"/>
    <x v="2"/>
    <x v="2"/>
  </r>
  <r>
    <x v="749"/>
    <s v="Voice american seven discussion."/>
    <s v="Shopping"/>
    <n v="215.55"/>
    <x v="0"/>
    <x v="2"/>
    <x v="2"/>
  </r>
  <r>
    <x v="750"/>
    <s v="Doctor protect military social."/>
    <s v="Investment"/>
    <n v="3157"/>
    <x v="1"/>
    <x v="2"/>
    <x v="2"/>
  </r>
  <r>
    <x v="751"/>
    <s v="Truth thing always possible."/>
    <s v="Food &amp; Drink"/>
    <n v="590.78"/>
    <x v="0"/>
    <x v="2"/>
    <x v="2"/>
  </r>
  <r>
    <x v="752"/>
    <s v="Plant event score official now."/>
    <s v="Rent"/>
    <n v="1452.44"/>
    <x v="0"/>
    <x v="2"/>
    <x v="2"/>
  </r>
  <r>
    <x v="753"/>
    <s v="Half president structure might."/>
    <s v="Entertainment"/>
    <n v="1148.2"/>
    <x v="0"/>
    <x v="2"/>
    <x v="2"/>
  </r>
  <r>
    <x v="754"/>
    <s v="Might good test."/>
    <s v="Other"/>
    <n v="1888"/>
    <x v="1"/>
    <x v="2"/>
    <x v="2"/>
  </r>
  <r>
    <x v="755"/>
    <s v="Thought according think key."/>
    <s v="Other"/>
    <n v="2698"/>
    <x v="1"/>
    <x v="2"/>
    <x v="2"/>
  </r>
  <r>
    <x v="756"/>
    <s v="Method exactly."/>
    <s v="Rent"/>
    <n v="342.74"/>
    <x v="0"/>
    <x v="2"/>
    <x v="2"/>
  </r>
  <r>
    <x v="757"/>
    <s v="Church own stage."/>
    <s v="Travel"/>
    <n v="973.62"/>
    <x v="0"/>
    <x v="2"/>
    <x v="2"/>
  </r>
  <r>
    <x v="758"/>
    <s v="Specific result loss long."/>
    <s v="Other"/>
    <n v="2520"/>
    <x v="1"/>
    <x v="2"/>
    <x v="2"/>
  </r>
  <r>
    <x v="759"/>
    <s v="Claim street against amount of."/>
    <s v="Salary"/>
    <n v="1191.67"/>
    <x v="0"/>
    <x v="2"/>
    <x v="2"/>
  </r>
  <r>
    <x v="760"/>
    <s v="Picture always occur."/>
    <s v="Investment"/>
    <n v="1609"/>
    <x v="1"/>
    <x v="2"/>
    <x v="2"/>
  </r>
  <r>
    <x v="761"/>
    <s v="Election conference when."/>
    <s v="Shopping"/>
    <n v="671.11"/>
    <x v="0"/>
    <x v="2"/>
    <x v="2"/>
  </r>
  <r>
    <x v="762"/>
    <s v="These road."/>
    <s v="Health &amp; Fitness"/>
    <n v="886.04"/>
    <x v="0"/>
    <x v="2"/>
    <x v="2"/>
  </r>
  <r>
    <x v="763"/>
    <s v="Describe paper."/>
    <s v="Utilities"/>
    <n v="607.87"/>
    <x v="0"/>
    <x v="2"/>
    <x v="2"/>
  </r>
  <r>
    <x v="764"/>
    <s v="Color store over some."/>
    <s v="Entertainment"/>
    <n v="963.23"/>
    <x v="0"/>
    <x v="2"/>
    <x v="2"/>
  </r>
  <r>
    <x v="765"/>
    <s v="Process enough right garden law."/>
    <s v="Other"/>
    <n v="3114"/>
    <x v="1"/>
    <x v="2"/>
    <x v="2"/>
  </r>
  <r>
    <x v="766"/>
    <s v="Her car admit."/>
    <s v="Salary"/>
    <n v="1935.85"/>
    <x v="0"/>
    <x v="2"/>
    <x v="2"/>
  </r>
  <r>
    <x v="767"/>
    <s v="Range step painting concern."/>
    <s v="Health &amp; Fitness"/>
    <n v="758.35"/>
    <x v="0"/>
    <x v="2"/>
    <x v="2"/>
  </r>
  <r>
    <x v="768"/>
    <s v="Me brother lot candidate owner."/>
    <s v="Shopping"/>
    <n v="736.38"/>
    <x v="0"/>
    <x v="2"/>
    <x v="2"/>
  </r>
  <r>
    <x v="769"/>
    <s v="Miss have analysis morning."/>
    <s v="Entertainment"/>
    <n v="1188.53"/>
    <x v="0"/>
    <x v="2"/>
    <x v="2"/>
  </r>
  <r>
    <x v="770"/>
    <s v="Smile high open scientist."/>
    <s v="Food &amp; Drink"/>
    <n v="1906.48"/>
    <x v="0"/>
    <x v="2"/>
    <x v="2"/>
  </r>
  <r>
    <x v="771"/>
    <s v="International effort."/>
    <s v="Entertainment"/>
    <n v="882.53"/>
    <x v="0"/>
    <x v="2"/>
    <x v="2"/>
  </r>
  <r>
    <x v="772"/>
    <s v="Exist theory."/>
    <s v="Rent"/>
    <n v="1639.74"/>
    <x v="0"/>
    <x v="2"/>
    <x v="2"/>
  </r>
  <r>
    <x v="773"/>
    <s v="Country remember smile."/>
    <s v="Shopping"/>
    <n v="1349.23"/>
    <x v="0"/>
    <x v="2"/>
    <x v="2"/>
  </r>
  <r>
    <x v="774"/>
    <s v="Brother according pressure reach firm."/>
    <s v="Other"/>
    <n v="2482"/>
    <x v="1"/>
    <x v="2"/>
    <x v="2"/>
  </r>
  <r>
    <x v="775"/>
    <s v="Choice prepare."/>
    <s v="Utilities"/>
    <n v="1433.32"/>
    <x v="0"/>
    <x v="2"/>
    <x v="2"/>
  </r>
  <r>
    <x v="776"/>
    <s v="Talk interest hand."/>
    <s v="Rent"/>
    <n v="903.64"/>
    <x v="0"/>
    <x v="2"/>
    <x v="2"/>
  </r>
  <r>
    <x v="777"/>
    <s v="Sense including six lot."/>
    <s v="Shopping"/>
    <n v="1073.3900000000001"/>
    <x v="0"/>
    <x v="2"/>
    <x v="2"/>
  </r>
  <r>
    <x v="778"/>
    <s v="Never effect fill general relationship."/>
    <s v="Shopping"/>
    <n v="1091.8499999999999"/>
    <x v="0"/>
    <x v="2"/>
    <x v="2"/>
  </r>
  <r>
    <x v="779"/>
    <s v="Security land record."/>
    <s v="Health &amp; Fitness"/>
    <n v="1406.25"/>
    <x v="0"/>
    <x v="2"/>
    <x v="2"/>
  </r>
  <r>
    <x v="780"/>
    <s v="Democrat hundred."/>
    <s v="Rent"/>
    <n v="227.65"/>
    <x v="0"/>
    <x v="2"/>
    <x v="2"/>
  </r>
  <r>
    <x v="781"/>
    <s v="Pass range appear home player."/>
    <s v="Health &amp; Fitness"/>
    <n v="341.01"/>
    <x v="0"/>
    <x v="2"/>
    <x v="2"/>
  </r>
  <r>
    <x v="782"/>
    <s v="Likely outside because."/>
    <s v="Shopping"/>
    <n v="1933.95"/>
    <x v="0"/>
    <x v="2"/>
    <x v="2"/>
  </r>
  <r>
    <x v="783"/>
    <s v="He participant right."/>
    <s v="Shopping"/>
    <n v="220.83"/>
    <x v="0"/>
    <x v="2"/>
    <x v="2"/>
  </r>
  <r>
    <x v="784"/>
    <s v="Prevent expert white arm similar."/>
    <s v="Investment"/>
    <n v="4683"/>
    <x v="1"/>
    <x v="2"/>
    <x v="2"/>
  </r>
  <r>
    <x v="785"/>
    <s v="Keep cut prevent sound."/>
    <s v="Entertainment"/>
    <n v="897.1"/>
    <x v="0"/>
    <x v="2"/>
    <x v="2"/>
  </r>
  <r>
    <x v="786"/>
    <s v="Almost outside middle."/>
    <s v="Utilities"/>
    <n v="696.49"/>
    <x v="0"/>
    <x v="2"/>
    <x v="2"/>
  </r>
  <r>
    <x v="787"/>
    <s v="College already dream a church."/>
    <s v="Investment"/>
    <n v="2920"/>
    <x v="1"/>
    <x v="2"/>
    <x v="2"/>
  </r>
  <r>
    <x v="788"/>
    <s v="Good house only military."/>
    <s v="Rent"/>
    <n v="240.98"/>
    <x v="0"/>
    <x v="2"/>
    <x v="2"/>
  </r>
  <r>
    <x v="789"/>
    <s v="Near risk."/>
    <s v="Utilities"/>
    <n v="703.17"/>
    <x v="0"/>
    <x v="2"/>
    <x v="2"/>
  </r>
  <r>
    <x v="790"/>
    <s v="Give white everybody paper create."/>
    <s v="Entertainment"/>
    <n v="1047.02"/>
    <x v="0"/>
    <x v="2"/>
    <x v="2"/>
  </r>
  <r>
    <x v="791"/>
    <s v="Above company media next me."/>
    <s v="Rent"/>
    <n v="881.95"/>
    <x v="0"/>
    <x v="2"/>
    <x v="2"/>
  </r>
  <r>
    <x v="792"/>
    <s v="Sort what."/>
    <s v="Health &amp; Fitness"/>
    <n v="143.68"/>
    <x v="0"/>
    <x v="2"/>
    <x v="2"/>
  </r>
  <r>
    <x v="793"/>
    <s v="Economic kind help low during."/>
    <s v="Investment"/>
    <n v="685"/>
    <x v="1"/>
    <x v="2"/>
    <x v="2"/>
  </r>
  <r>
    <x v="794"/>
    <s v="Race to television loss."/>
    <s v="Rent"/>
    <n v="1357.51"/>
    <x v="0"/>
    <x v="2"/>
    <x v="2"/>
  </r>
  <r>
    <x v="795"/>
    <s v="Him small."/>
    <s v="Investment"/>
    <n v="4727"/>
    <x v="1"/>
    <x v="2"/>
    <x v="2"/>
  </r>
  <r>
    <x v="796"/>
    <s v="Son include good."/>
    <s v="Investment"/>
    <n v="3211"/>
    <x v="1"/>
    <x v="2"/>
    <x v="2"/>
  </r>
  <r>
    <x v="797"/>
    <s v="Red enjoy."/>
    <s v="Salary"/>
    <n v="471.39"/>
    <x v="0"/>
    <x v="2"/>
    <x v="2"/>
  </r>
  <r>
    <x v="798"/>
    <s v="Human see."/>
    <s v="Utilities"/>
    <n v="380.91"/>
    <x v="0"/>
    <x v="2"/>
    <x v="2"/>
  </r>
  <r>
    <x v="799"/>
    <s v="Never condition."/>
    <s v="Shopping"/>
    <n v="68.09"/>
    <x v="0"/>
    <x v="2"/>
    <x v="2"/>
  </r>
  <r>
    <x v="800"/>
    <s v="Despite off consumer second."/>
    <s v="Entertainment"/>
    <n v="904.65"/>
    <x v="0"/>
    <x v="2"/>
    <x v="2"/>
  </r>
  <r>
    <x v="801"/>
    <s v="Say dog drug enter."/>
    <s v="Food &amp; Drink"/>
    <n v="1412.42"/>
    <x v="0"/>
    <x v="2"/>
    <x v="2"/>
  </r>
  <r>
    <x v="802"/>
    <s v="Strong student green."/>
    <s v="Rent"/>
    <n v="1158.92"/>
    <x v="0"/>
    <x v="2"/>
    <x v="2"/>
  </r>
  <r>
    <x v="803"/>
    <s v="Turn put professional."/>
    <s v="Utilities"/>
    <n v="737.93"/>
    <x v="0"/>
    <x v="2"/>
    <x v="2"/>
  </r>
  <r>
    <x v="804"/>
    <s v="When summer he firm together."/>
    <s v="Investment"/>
    <n v="2649"/>
    <x v="1"/>
    <x v="2"/>
    <x v="2"/>
  </r>
  <r>
    <x v="805"/>
    <s v="Make worker trouble."/>
    <s v="Salary"/>
    <n v="1060.1500000000001"/>
    <x v="0"/>
    <x v="2"/>
    <x v="2"/>
  </r>
  <r>
    <x v="806"/>
    <s v="Develop office approach son."/>
    <s v="Shopping"/>
    <n v="1226.5"/>
    <x v="0"/>
    <x v="2"/>
    <x v="2"/>
  </r>
  <r>
    <x v="807"/>
    <s v="Allow girl team simply lead."/>
    <s v="Health &amp; Fitness"/>
    <n v="710.45"/>
    <x v="0"/>
    <x v="2"/>
    <x v="2"/>
  </r>
  <r>
    <x v="808"/>
    <s v="Least ready activity decision ok."/>
    <s v="Utilities"/>
    <n v="1629.34"/>
    <x v="0"/>
    <x v="2"/>
    <x v="2"/>
  </r>
  <r>
    <x v="809"/>
    <s v="Party employee nature down."/>
    <s v="Travel"/>
    <n v="1838.18"/>
    <x v="0"/>
    <x v="2"/>
    <x v="2"/>
  </r>
  <r>
    <x v="810"/>
    <s v="Gas contain interest industry sell."/>
    <s v="Utilities"/>
    <n v="633.24"/>
    <x v="0"/>
    <x v="2"/>
    <x v="2"/>
  </r>
  <r>
    <x v="811"/>
    <s v="Evidence conference capital office."/>
    <s v="Rent"/>
    <n v="374.26"/>
    <x v="0"/>
    <x v="2"/>
    <x v="2"/>
  </r>
  <r>
    <x v="812"/>
    <s v="Result sound."/>
    <s v="Shopping"/>
    <n v="842.3"/>
    <x v="0"/>
    <x v="2"/>
    <x v="2"/>
  </r>
  <r>
    <x v="813"/>
    <s v="Task cultural son school."/>
    <s v="Other"/>
    <n v="3965"/>
    <x v="1"/>
    <x v="2"/>
    <x v="2"/>
  </r>
  <r>
    <x v="814"/>
    <s v="Computer matter."/>
    <s v="Investment"/>
    <n v="1866"/>
    <x v="1"/>
    <x v="2"/>
    <x v="2"/>
  </r>
  <r>
    <x v="815"/>
    <s v="Result size feel no nothing."/>
    <s v="Utilities"/>
    <n v="382.33"/>
    <x v="0"/>
    <x v="2"/>
    <x v="2"/>
  </r>
  <r>
    <x v="816"/>
    <s v="Real art."/>
    <s v="Food &amp; Drink"/>
    <n v="1732.39"/>
    <x v="0"/>
    <x v="2"/>
    <x v="2"/>
  </r>
  <r>
    <x v="817"/>
    <s v="Stuff benefit seat employee."/>
    <s v="Salary"/>
    <n v="281.7"/>
    <x v="0"/>
    <x v="2"/>
    <x v="2"/>
  </r>
  <r>
    <x v="818"/>
    <s v="Newspaper special general in go."/>
    <s v="Salary"/>
    <n v="824.18"/>
    <x v="0"/>
    <x v="2"/>
    <x v="2"/>
  </r>
  <r>
    <x v="819"/>
    <s v="Office power company sister great."/>
    <s v="Salary"/>
    <n v="982.51"/>
    <x v="0"/>
    <x v="2"/>
    <x v="2"/>
  </r>
  <r>
    <x v="820"/>
    <s v="Simple land bad party."/>
    <s v="Investment"/>
    <n v="2306"/>
    <x v="1"/>
    <x v="2"/>
    <x v="2"/>
  </r>
  <r>
    <x v="821"/>
    <s v="What than political up instead."/>
    <s v="Travel"/>
    <n v="457.44"/>
    <x v="0"/>
    <x v="2"/>
    <x v="2"/>
  </r>
  <r>
    <x v="822"/>
    <s v="Support author class direction."/>
    <s v="Salary"/>
    <n v="1135.6400000000001"/>
    <x v="0"/>
    <x v="2"/>
    <x v="2"/>
  </r>
  <r>
    <x v="823"/>
    <s v="Report painting house."/>
    <s v="Salary"/>
    <n v="1103.96"/>
    <x v="0"/>
    <x v="2"/>
    <x v="2"/>
  </r>
  <r>
    <x v="824"/>
    <s v="Security minute late cold."/>
    <s v="Investment"/>
    <n v="2694"/>
    <x v="1"/>
    <x v="2"/>
    <x v="2"/>
  </r>
  <r>
    <x v="825"/>
    <s v="Road product wait."/>
    <s v="Health &amp; Fitness"/>
    <n v="1088.67"/>
    <x v="0"/>
    <x v="2"/>
    <x v="2"/>
  </r>
  <r>
    <x v="826"/>
    <s v="Cold billion as."/>
    <s v="Salary"/>
    <n v="1097.24"/>
    <x v="0"/>
    <x v="2"/>
    <x v="2"/>
  </r>
  <r>
    <x v="827"/>
    <s v="Approach side model you billion."/>
    <s v="Rent"/>
    <n v="1474.62"/>
    <x v="0"/>
    <x v="2"/>
    <x v="2"/>
  </r>
  <r>
    <x v="828"/>
    <s v="Pressure those."/>
    <s v="Entertainment"/>
    <n v="602.44000000000005"/>
    <x v="0"/>
    <x v="2"/>
    <x v="2"/>
  </r>
  <r>
    <x v="829"/>
    <s v="Easy exist phone."/>
    <s v="Salary"/>
    <n v="533"/>
    <x v="0"/>
    <x v="2"/>
    <x v="2"/>
  </r>
  <r>
    <x v="830"/>
    <s v="Stuff agreement professional team foot."/>
    <s v="Rent"/>
    <n v="883.75"/>
    <x v="0"/>
    <x v="2"/>
    <x v="2"/>
  </r>
  <r>
    <x v="831"/>
    <s v="Window music evening know."/>
    <s v="Entertainment"/>
    <n v="427.66"/>
    <x v="0"/>
    <x v="2"/>
    <x v="2"/>
  </r>
  <r>
    <x v="832"/>
    <s v="Opportunity lead see."/>
    <s v="Health &amp; Fitness"/>
    <n v="1723.49"/>
    <x v="0"/>
    <x v="2"/>
    <x v="2"/>
  </r>
  <r>
    <x v="833"/>
    <s v="Model police finally girl."/>
    <s v="Shopping"/>
    <n v="340.3"/>
    <x v="0"/>
    <x v="2"/>
    <x v="2"/>
  </r>
  <r>
    <x v="834"/>
    <s v="Source kind hand."/>
    <s v="Investment"/>
    <n v="2195"/>
    <x v="1"/>
    <x v="2"/>
    <x v="2"/>
  </r>
  <r>
    <x v="835"/>
    <s v="Field a spring."/>
    <s v="Health &amp; Fitness"/>
    <n v="1069.24"/>
    <x v="0"/>
    <x v="2"/>
    <x v="2"/>
  </r>
  <r>
    <x v="836"/>
    <s v="Expert movement reach man."/>
    <s v="Utilities"/>
    <n v="654.07000000000005"/>
    <x v="0"/>
    <x v="2"/>
    <x v="2"/>
  </r>
  <r>
    <x v="837"/>
    <s v="Across involve fall."/>
    <s v="Travel"/>
    <n v="1149.74"/>
    <x v="0"/>
    <x v="2"/>
    <x v="2"/>
  </r>
  <r>
    <x v="838"/>
    <s v="Nature country."/>
    <s v="Rent"/>
    <n v="279.82"/>
    <x v="0"/>
    <x v="2"/>
    <x v="2"/>
  </r>
  <r>
    <x v="839"/>
    <s v="House clear say hope."/>
    <s v="Shopping"/>
    <n v="1838.35"/>
    <x v="0"/>
    <x v="2"/>
    <x v="2"/>
  </r>
  <r>
    <x v="840"/>
    <s v="Enjoy instead dream."/>
    <s v="Utilities"/>
    <n v="1405.84"/>
    <x v="0"/>
    <x v="2"/>
    <x v="2"/>
  </r>
  <r>
    <x v="841"/>
    <s v="Possible mother especially."/>
    <s v="Investment"/>
    <n v="3138"/>
    <x v="1"/>
    <x v="2"/>
    <x v="2"/>
  </r>
  <r>
    <x v="842"/>
    <s v="Consumer face."/>
    <s v="Shopping"/>
    <n v="984.02"/>
    <x v="0"/>
    <x v="2"/>
    <x v="2"/>
  </r>
  <r>
    <x v="843"/>
    <s v="Laugh red man fly charge."/>
    <s v="Travel"/>
    <n v="1259.3499999999999"/>
    <x v="0"/>
    <x v="2"/>
    <x v="2"/>
  </r>
  <r>
    <x v="844"/>
    <s v="Control bill."/>
    <s v="Rent"/>
    <n v="1270.92"/>
    <x v="0"/>
    <x v="2"/>
    <x v="2"/>
  </r>
  <r>
    <x v="845"/>
    <s v="Resource road do."/>
    <s v="Rent"/>
    <n v="811.67"/>
    <x v="0"/>
    <x v="2"/>
    <x v="2"/>
  </r>
  <r>
    <x v="846"/>
    <s v="Management game."/>
    <s v="Health &amp; Fitness"/>
    <n v="914.84"/>
    <x v="0"/>
    <x v="2"/>
    <x v="2"/>
  </r>
  <r>
    <x v="847"/>
    <s v="Your less social form."/>
    <s v="Food &amp; Drink"/>
    <n v="1739.13"/>
    <x v="0"/>
    <x v="2"/>
    <x v="2"/>
  </r>
  <r>
    <x v="848"/>
    <s v="Entire hotel."/>
    <s v="Rent"/>
    <n v="1464.55"/>
    <x v="0"/>
    <x v="2"/>
    <x v="2"/>
  </r>
  <r>
    <x v="849"/>
    <s v="Consider time economic high."/>
    <s v="Health &amp; Fitness"/>
    <n v="1701.71"/>
    <x v="0"/>
    <x v="2"/>
    <x v="2"/>
  </r>
  <r>
    <x v="850"/>
    <s v="Window research his."/>
    <s v="Shopping"/>
    <n v="443.48"/>
    <x v="0"/>
    <x v="2"/>
    <x v="2"/>
  </r>
  <r>
    <x v="851"/>
    <s v="Scene almost leave."/>
    <s v="Entertainment"/>
    <n v="994.48"/>
    <x v="0"/>
    <x v="2"/>
    <x v="2"/>
  </r>
  <r>
    <x v="852"/>
    <s v="Program decade home which view."/>
    <s v="Travel"/>
    <n v="682.13"/>
    <x v="0"/>
    <x v="2"/>
    <x v="2"/>
  </r>
  <r>
    <x v="853"/>
    <s v="Rock seat near business loss."/>
    <s v="Salary"/>
    <n v="1578.72"/>
    <x v="0"/>
    <x v="2"/>
    <x v="2"/>
  </r>
  <r>
    <x v="854"/>
    <s v="Growth appear project."/>
    <s v="Food &amp; Drink"/>
    <n v="101.43"/>
    <x v="0"/>
    <x v="2"/>
    <x v="2"/>
  </r>
  <r>
    <x v="855"/>
    <s v="Plan foot cold."/>
    <s v="Salary"/>
    <n v="42.4"/>
    <x v="0"/>
    <x v="2"/>
    <x v="2"/>
  </r>
  <r>
    <x v="856"/>
    <s v="Build smile across among situation."/>
    <s v="Utilities"/>
    <n v="888.16"/>
    <x v="0"/>
    <x v="2"/>
    <x v="2"/>
  </r>
  <r>
    <x v="857"/>
    <s v="Choice side eat matter rather."/>
    <s v="Other"/>
    <n v="2157"/>
    <x v="1"/>
    <x v="2"/>
    <x v="2"/>
  </r>
  <r>
    <x v="858"/>
    <s v="Art green child movie blue."/>
    <s v="Utilities"/>
    <n v="1765.47"/>
    <x v="0"/>
    <x v="2"/>
    <x v="2"/>
  </r>
  <r>
    <x v="859"/>
    <s v="First next popular."/>
    <s v="Travel"/>
    <n v="195.75"/>
    <x v="0"/>
    <x v="2"/>
    <x v="2"/>
  </r>
  <r>
    <x v="860"/>
    <s v="Run again help right."/>
    <s v="Rent"/>
    <n v="749.97"/>
    <x v="0"/>
    <x v="2"/>
    <x v="2"/>
  </r>
  <r>
    <x v="861"/>
    <s v="Magazine join."/>
    <s v="Utilities"/>
    <n v="113.06"/>
    <x v="0"/>
    <x v="2"/>
    <x v="2"/>
  </r>
  <r>
    <x v="862"/>
    <s v="Recent couple cost girl run."/>
    <s v="Entertainment"/>
    <n v="864.17"/>
    <x v="0"/>
    <x v="2"/>
    <x v="2"/>
  </r>
  <r>
    <x v="863"/>
    <s v="Trial never attention choice fast."/>
    <s v="Investment"/>
    <n v="508"/>
    <x v="1"/>
    <x v="2"/>
    <x v="2"/>
  </r>
  <r>
    <x v="864"/>
    <s v="Happen a point here control."/>
    <s v="Rent"/>
    <n v="274.07"/>
    <x v="0"/>
    <x v="2"/>
    <x v="2"/>
  </r>
  <r>
    <x v="865"/>
    <s v="Task simply draw return probably."/>
    <s v="Salary"/>
    <n v="28.48"/>
    <x v="0"/>
    <x v="2"/>
    <x v="2"/>
  </r>
  <r>
    <x v="866"/>
    <s v="Couple raise she child."/>
    <s v="Rent"/>
    <n v="1976.43"/>
    <x v="0"/>
    <x v="2"/>
    <x v="2"/>
  </r>
  <r>
    <x v="867"/>
    <s v="Important focus benefit probably."/>
    <s v="Utilities"/>
    <n v="960.62"/>
    <x v="0"/>
    <x v="2"/>
    <x v="2"/>
  </r>
  <r>
    <x v="868"/>
    <s v="Condition all blood."/>
    <s v="Rent"/>
    <n v="1464.22"/>
    <x v="0"/>
    <x v="2"/>
    <x v="2"/>
  </r>
  <r>
    <x v="869"/>
    <s v="All politics."/>
    <s v="Other"/>
    <n v="3511"/>
    <x v="1"/>
    <x v="2"/>
    <x v="2"/>
  </r>
  <r>
    <x v="870"/>
    <s v="Moment red eight hand."/>
    <s v="Utilities"/>
    <n v="771.61"/>
    <x v="0"/>
    <x v="2"/>
    <x v="2"/>
  </r>
  <r>
    <x v="871"/>
    <s v="Us decade."/>
    <s v="Utilities"/>
    <n v="1286.74"/>
    <x v="0"/>
    <x v="2"/>
    <x v="2"/>
  </r>
  <r>
    <x v="872"/>
    <s v="Life police."/>
    <s v="Rent"/>
    <n v="1065.71"/>
    <x v="0"/>
    <x v="2"/>
    <x v="2"/>
  </r>
  <r>
    <x v="873"/>
    <s v="Sea three state some around."/>
    <s v="Investment"/>
    <n v="4105"/>
    <x v="1"/>
    <x v="2"/>
    <x v="2"/>
  </r>
  <r>
    <x v="874"/>
    <s v="American audience fight war whether."/>
    <s v="Entertainment"/>
    <n v="1259.8800000000001"/>
    <x v="0"/>
    <x v="2"/>
    <x v="2"/>
  </r>
  <r>
    <x v="875"/>
    <s v="Rise mother."/>
    <s v="Other"/>
    <n v="4124"/>
    <x v="1"/>
    <x v="2"/>
    <x v="2"/>
  </r>
  <r>
    <x v="876"/>
    <s v="Moment eat personal."/>
    <s v="Rent"/>
    <n v="1794.22"/>
    <x v="0"/>
    <x v="2"/>
    <x v="2"/>
  </r>
  <r>
    <x v="877"/>
    <s v="See indeed black police group."/>
    <s v="Investment"/>
    <n v="3645"/>
    <x v="1"/>
    <x v="2"/>
    <x v="2"/>
  </r>
  <r>
    <x v="878"/>
    <s v="Third coach congress husband."/>
    <s v="Shopping"/>
    <n v="635.86"/>
    <x v="0"/>
    <x v="2"/>
    <x v="2"/>
  </r>
  <r>
    <x v="879"/>
    <s v="Move outside value."/>
    <s v="Other"/>
    <n v="1190"/>
    <x v="1"/>
    <x v="2"/>
    <x v="2"/>
  </r>
  <r>
    <x v="880"/>
    <s v="Yard foot he share issue."/>
    <s v="Travel"/>
    <n v="1560.15"/>
    <x v="0"/>
    <x v="2"/>
    <x v="2"/>
  </r>
  <r>
    <x v="881"/>
    <s v="Drive nation heart nearly season."/>
    <s v="Travel"/>
    <n v="418.84"/>
    <x v="0"/>
    <x v="2"/>
    <x v="2"/>
  </r>
  <r>
    <x v="882"/>
    <s v="Language however risk work."/>
    <s v="Entertainment"/>
    <n v="1498.21"/>
    <x v="0"/>
    <x v="2"/>
    <x v="2"/>
  </r>
  <r>
    <x v="883"/>
    <s v="Career three according worker democrat."/>
    <s v="Food &amp; Drink"/>
    <n v="1569.77"/>
    <x v="0"/>
    <x v="2"/>
    <x v="2"/>
  </r>
  <r>
    <x v="884"/>
    <s v="Sign wall."/>
    <s v="Entertainment"/>
    <n v="994.83"/>
    <x v="0"/>
    <x v="2"/>
    <x v="2"/>
  </r>
  <r>
    <x v="885"/>
    <s v="Memory number occur behind leave."/>
    <s v="Other"/>
    <n v="1081"/>
    <x v="1"/>
    <x v="2"/>
    <x v="2"/>
  </r>
  <r>
    <x v="886"/>
    <s v="Enter threat economic."/>
    <s v="Food &amp; Drink"/>
    <n v="1973.9"/>
    <x v="0"/>
    <x v="2"/>
    <x v="2"/>
  </r>
  <r>
    <x v="887"/>
    <s v="Begin hundred truth."/>
    <s v="Utilities"/>
    <n v="779.81"/>
    <x v="0"/>
    <x v="2"/>
    <x v="2"/>
  </r>
  <r>
    <x v="888"/>
    <s v="Society common stay ready."/>
    <s v="Shopping"/>
    <n v="737.17"/>
    <x v="0"/>
    <x v="2"/>
    <x v="2"/>
  </r>
  <r>
    <x v="889"/>
    <s v="Organization feel."/>
    <s v="Salary"/>
    <n v="1909.36"/>
    <x v="0"/>
    <x v="2"/>
    <x v="2"/>
  </r>
  <r>
    <x v="890"/>
    <s v="Bad argue side girl."/>
    <s v="Food &amp; Drink"/>
    <n v="1178.8499999999999"/>
    <x v="0"/>
    <x v="2"/>
    <x v="2"/>
  </r>
  <r>
    <x v="891"/>
    <s v="Us building side section."/>
    <s v="Investment"/>
    <n v="826"/>
    <x v="1"/>
    <x v="2"/>
    <x v="2"/>
  </r>
  <r>
    <x v="892"/>
    <s v="Him fight american music change."/>
    <s v="Shopping"/>
    <n v="1018.16"/>
    <x v="0"/>
    <x v="2"/>
    <x v="2"/>
  </r>
  <r>
    <x v="893"/>
    <s v="Check purpose young."/>
    <s v="Shopping"/>
    <n v="852.91"/>
    <x v="0"/>
    <x v="2"/>
    <x v="2"/>
  </r>
  <r>
    <x v="894"/>
    <s v="Offer bed it skill challenge."/>
    <s v="Utilities"/>
    <n v="562.16"/>
    <x v="0"/>
    <x v="2"/>
    <x v="2"/>
  </r>
  <r>
    <x v="895"/>
    <s v="Live seat."/>
    <s v="Entertainment"/>
    <n v="1948.88"/>
    <x v="0"/>
    <x v="2"/>
    <x v="2"/>
  </r>
  <r>
    <x v="896"/>
    <s v="Energy huge its recently."/>
    <s v="Other"/>
    <n v="3700"/>
    <x v="1"/>
    <x v="2"/>
    <x v="2"/>
  </r>
  <r>
    <x v="897"/>
    <s v="Nice maintain present cultural."/>
    <s v="Rent"/>
    <n v="627.24"/>
    <x v="0"/>
    <x v="2"/>
    <x v="2"/>
  </r>
  <r>
    <x v="898"/>
    <s v="Drug entire involve."/>
    <s v="Entertainment"/>
    <n v="125.23"/>
    <x v="0"/>
    <x v="2"/>
    <x v="2"/>
  </r>
  <r>
    <x v="899"/>
    <s v="Both including."/>
    <s v="Other"/>
    <n v="1450"/>
    <x v="1"/>
    <x v="2"/>
    <x v="2"/>
  </r>
  <r>
    <x v="900"/>
    <s v="Couple general pretty show."/>
    <s v="Food &amp; Drink"/>
    <n v="625.49"/>
    <x v="0"/>
    <x v="2"/>
    <x v="2"/>
  </r>
  <r>
    <x v="901"/>
    <s v="Pattern wrong kind certainly."/>
    <s v="Utilities"/>
    <n v="247.69"/>
    <x v="0"/>
    <x v="2"/>
    <x v="2"/>
  </r>
  <r>
    <x v="902"/>
    <s v="Current health serious."/>
    <s v="Food &amp; Drink"/>
    <n v="336.03"/>
    <x v="0"/>
    <x v="2"/>
    <x v="2"/>
  </r>
  <r>
    <x v="903"/>
    <s v="Science drug."/>
    <s v="Travel"/>
    <n v="342.26"/>
    <x v="0"/>
    <x v="2"/>
    <x v="2"/>
  </r>
  <r>
    <x v="904"/>
    <s v="Add really born."/>
    <s v="Other"/>
    <n v="1467"/>
    <x v="1"/>
    <x v="2"/>
    <x v="2"/>
  </r>
  <r>
    <x v="905"/>
    <s v="Age decade mrs data."/>
    <s v="Food &amp; Drink"/>
    <n v="676.67"/>
    <x v="0"/>
    <x v="2"/>
    <x v="2"/>
  </r>
  <r>
    <x v="906"/>
    <s v="Nature performance yeah."/>
    <s v="Rent"/>
    <n v="533.27"/>
    <x v="0"/>
    <x v="2"/>
    <x v="2"/>
  </r>
  <r>
    <x v="907"/>
    <s v="On professional analysis color."/>
    <s v="Rent"/>
    <n v="997.33"/>
    <x v="0"/>
    <x v="2"/>
    <x v="2"/>
  </r>
  <r>
    <x v="908"/>
    <s v="Smile peace apply."/>
    <s v="Food &amp; Drink"/>
    <n v="1004.22"/>
    <x v="0"/>
    <x v="2"/>
    <x v="2"/>
  </r>
  <r>
    <x v="909"/>
    <s v="Home even."/>
    <s v="Health &amp; Fitness"/>
    <n v="323.05"/>
    <x v="0"/>
    <x v="2"/>
    <x v="2"/>
  </r>
  <r>
    <x v="910"/>
    <s v="Affect test."/>
    <s v="Rent"/>
    <n v="464.52"/>
    <x v="0"/>
    <x v="2"/>
    <x v="2"/>
  </r>
  <r>
    <x v="911"/>
    <s v="Woman meet report."/>
    <s v="Food &amp; Drink"/>
    <n v="1718.79"/>
    <x v="0"/>
    <x v="2"/>
    <x v="2"/>
  </r>
  <r>
    <x v="912"/>
    <s v="Term mother cost may."/>
    <s v="Investment"/>
    <n v="4364"/>
    <x v="1"/>
    <x v="2"/>
    <x v="2"/>
  </r>
  <r>
    <x v="913"/>
    <s v="Unit again easy morning four."/>
    <s v="Utilities"/>
    <n v="366.13"/>
    <x v="0"/>
    <x v="2"/>
    <x v="2"/>
  </r>
  <r>
    <x v="914"/>
    <s v="Adult range green."/>
    <s v="Food &amp; Drink"/>
    <n v="1110.2"/>
    <x v="0"/>
    <x v="2"/>
    <x v="2"/>
  </r>
  <r>
    <x v="915"/>
    <s v="You without every."/>
    <s v="Shopping"/>
    <n v="456.79"/>
    <x v="0"/>
    <x v="2"/>
    <x v="2"/>
  </r>
  <r>
    <x v="916"/>
    <s v="Election hit yourself wrong want."/>
    <s v="Health &amp; Fitness"/>
    <n v="549.79999999999995"/>
    <x v="0"/>
    <x v="2"/>
    <x v="2"/>
  </r>
  <r>
    <x v="917"/>
    <s v="Charge today prevent."/>
    <s v="Other"/>
    <n v="1478"/>
    <x v="1"/>
    <x v="2"/>
    <x v="2"/>
  </r>
  <r>
    <x v="918"/>
    <s v="Minute question their rather."/>
    <s v="Food &amp; Drink"/>
    <n v="366.9"/>
    <x v="0"/>
    <x v="2"/>
    <x v="2"/>
  </r>
  <r>
    <x v="919"/>
    <s v="Of interview fine."/>
    <s v="Food &amp; Drink"/>
    <n v="1908.62"/>
    <x v="0"/>
    <x v="2"/>
    <x v="2"/>
  </r>
  <r>
    <x v="920"/>
    <s v="My deal catch must."/>
    <s v="Other"/>
    <n v="2812"/>
    <x v="1"/>
    <x v="2"/>
    <x v="2"/>
  </r>
  <r>
    <x v="921"/>
    <s v="Finally relate model."/>
    <s v="Travel"/>
    <n v="661.33"/>
    <x v="0"/>
    <x v="2"/>
    <x v="2"/>
  </r>
  <r>
    <x v="922"/>
    <s v="Yet wish certain usually."/>
    <s v="Food &amp; Drink"/>
    <n v="744.15"/>
    <x v="0"/>
    <x v="2"/>
    <x v="2"/>
  </r>
  <r>
    <x v="923"/>
    <s v="Attack mouth rest contain."/>
    <s v="Travel"/>
    <n v="1481.76"/>
    <x v="0"/>
    <x v="2"/>
    <x v="2"/>
  </r>
  <r>
    <x v="924"/>
    <s v="She they."/>
    <s v="Health &amp; Fitness"/>
    <n v="1187.46"/>
    <x v="0"/>
    <x v="2"/>
    <x v="2"/>
  </r>
  <r>
    <x v="925"/>
    <s v="Field seat start pm."/>
    <s v="Entertainment"/>
    <n v="1467.6"/>
    <x v="0"/>
    <x v="2"/>
    <x v="2"/>
  </r>
  <r>
    <x v="926"/>
    <s v="Single blood continue."/>
    <s v="Entertainment"/>
    <n v="309.63"/>
    <x v="0"/>
    <x v="2"/>
    <x v="2"/>
  </r>
  <r>
    <x v="927"/>
    <s v="Note discuss discussion reach grow."/>
    <s v="Food &amp; Drink"/>
    <n v="473.67"/>
    <x v="0"/>
    <x v="2"/>
    <x v="2"/>
  </r>
  <r>
    <x v="928"/>
    <s v="Maybe painting republican."/>
    <s v="Food &amp; Drink"/>
    <n v="1902.47"/>
    <x v="0"/>
    <x v="2"/>
    <x v="2"/>
  </r>
  <r>
    <x v="929"/>
    <s v="System man case."/>
    <s v="Other"/>
    <n v="3019"/>
    <x v="1"/>
    <x v="2"/>
    <x v="2"/>
  </r>
  <r>
    <x v="930"/>
    <s v="Allow share address."/>
    <s v="Investment"/>
    <n v="3939"/>
    <x v="1"/>
    <x v="2"/>
    <x v="2"/>
  </r>
  <r>
    <x v="931"/>
    <s v="Development provide dark daughter."/>
    <s v="Food &amp; Drink"/>
    <n v="1945.39"/>
    <x v="0"/>
    <x v="2"/>
    <x v="2"/>
  </r>
  <r>
    <x v="932"/>
    <s v="Term majority foot leader."/>
    <s v="Other"/>
    <n v="1262"/>
    <x v="1"/>
    <x v="2"/>
    <x v="2"/>
  </r>
  <r>
    <x v="933"/>
    <s v="If among save herself."/>
    <s v="Investment"/>
    <n v="4757"/>
    <x v="1"/>
    <x v="2"/>
    <x v="2"/>
  </r>
  <r>
    <x v="934"/>
    <s v="Particularly score order modern."/>
    <s v="Health &amp; Fitness"/>
    <n v="922.33"/>
    <x v="0"/>
    <x v="2"/>
    <x v="2"/>
  </r>
  <r>
    <x v="935"/>
    <s v="Body lead there there early."/>
    <s v="Rent"/>
    <n v="1015.8"/>
    <x v="0"/>
    <x v="2"/>
    <x v="2"/>
  </r>
  <r>
    <x v="936"/>
    <s v="Worker always hold share."/>
    <s v="Shopping"/>
    <n v="158.91"/>
    <x v="0"/>
    <x v="2"/>
    <x v="2"/>
  </r>
  <r>
    <x v="937"/>
    <s v="Fact huge fight."/>
    <s v="Shopping"/>
    <n v="1328.26"/>
    <x v="0"/>
    <x v="2"/>
    <x v="2"/>
  </r>
  <r>
    <x v="938"/>
    <s v="Coach family try ready."/>
    <s v="Other"/>
    <n v="2638"/>
    <x v="1"/>
    <x v="2"/>
    <x v="2"/>
  </r>
  <r>
    <x v="939"/>
    <s v="Stop later reveal both."/>
    <s v="Shopping"/>
    <n v="1404.44"/>
    <x v="0"/>
    <x v="2"/>
    <x v="2"/>
  </r>
  <r>
    <x v="940"/>
    <s v="Career including late condition opportunity."/>
    <s v="Health &amp; Fitness"/>
    <n v="910.99"/>
    <x v="0"/>
    <x v="2"/>
    <x v="2"/>
  </r>
  <r>
    <x v="941"/>
    <s v="Bed food possible represent."/>
    <s v="Entertainment"/>
    <n v="280.86"/>
    <x v="0"/>
    <x v="2"/>
    <x v="2"/>
  </r>
  <r>
    <x v="942"/>
    <s v="Before relationship plant."/>
    <s v="Rent"/>
    <n v="319.27"/>
    <x v="0"/>
    <x v="2"/>
    <x v="2"/>
  </r>
  <r>
    <x v="943"/>
    <s v="Religious risk window partner civil."/>
    <s v="Other"/>
    <n v="3072"/>
    <x v="1"/>
    <x v="2"/>
    <x v="2"/>
  </r>
  <r>
    <x v="944"/>
    <s v="Analysis color friend the."/>
    <s v="Health &amp; Fitness"/>
    <n v="1929.62"/>
    <x v="0"/>
    <x v="2"/>
    <x v="2"/>
  </r>
  <r>
    <x v="945"/>
    <s v="Than condition republican."/>
    <s v="Travel"/>
    <n v="932.06"/>
    <x v="0"/>
    <x v="2"/>
    <x v="2"/>
  </r>
  <r>
    <x v="946"/>
    <s v="Finally shoulder land."/>
    <s v="Rent"/>
    <n v="323.64999999999998"/>
    <x v="0"/>
    <x v="2"/>
    <x v="2"/>
  </r>
  <r>
    <x v="947"/>
    <s v="Together whether about."/>
    <s v="Food &amp; Drink"/>
    <n v="437.89"/>
    <x v="0"/>
    <x v="2"/>
    <x v="2"/>
  </r>
  <r>
    <x v="948"/>
    <s v="Learn talk."/>
    <s v="Utilities"/>
    <n v="191.51"/>
    <x v="0"/>
    <x v="2"/>
    <x v="2"/>
  </r>
  <r>
    <x v="949"/>
    <s v="Part management."/>
    <s v="Health &amp; Fitness"/>
    <n v="798.53"/>
    <x v="0"/>
    <x v="2"/>
    <x v="2"/>
  </r>
  <r>
    <x v="950"/>
    <s v="Process law kind over according."/>
    <s v="Other"/>
    <n v="2631"/>
    <x v="1"/>
    <x v="2"/>
    <x v="2"/>
  </r>
  <r>
    <x v="951"/>
    <s v="People newspaper stay."/>
    <s v="Utilities"/>
    <n v="71.849999999999994"/>
    <x v="0"/>
    <x v="2"/>
    <x v="2"/>
  </r>
  <r>
    <x v="952"/>
    <s v="Challenge president already."/>
    <s v="Salary"/>
    <n v="1116.3499999999999"/>
    <x v="0"/>
    <x v="2"/>
    <x v="2"/>
  </r>
  <r>
    <x v="953"/>
    <s v="Study fear turn any indicate."/>
    <s v="Rent"/>
    <n v="929.47"/>
    <x v="0"/>
    <x v="2"/>
    <x v="2"/>
  </r>
  <r>
    <x v="954"/>
    <s v="Public particularly reality."/>
    <s v="Utilities"/>
    <n v="251.69"/>
    <x v="0"/>
    <x v="2"/>
    <x v="2"/>
  </r>
  <r>
    <x v="955"/>
    <s v="Concern lay often use behavior."/>
    <s v="Investment"/>
    <n v="1570"/>
    <x v="1"/>
    <x v="2"/>
    <x v="2"/>
  </r>
  <r>
    <x v="956"/>
    <s v="Happy her attack interview."/>
    <s v="Other"/>
    <n v="3549"/>
    <x v="1"/>
    <x v="2"/>
    <x v="2"/>
  </r>
  <r>
    <x v="957"/>
    <s v="Fall care."/>
    <s v="Rent"/>
    <n v="1168.82"/>
    <x v="0"/>
    <x v="2"/>
    <x v="2"/>
  </r>
  <r>
    <x v="958"/>
    <s v="Money modern receive partner."/>
    <s v="Rent"/>
    <n v="53.38"/>
    <x v="0"/>
    <x v="2"/>
    <x v="2"/>
  </r>
  <r>
    <x v="959"/>
    <s v="Role pick would low read."/>
    <s v="Other"/>
    <n v="1555"/>
    <x v="1"/>
    <x v="2"/>
    <x v="2"/>
  </r>
  <r>
    <x v="960"/>
    <s v="Participant first moment yet."/>
    <s v="Other"/>
    <n v="1503"/>
    <x v="1"/>
    <x v="2"/>
    <x v="2"/>
  </r>
  <r>
    <x v="961"/>
    <s v="Pass market role."/>
    <s v="Other"/>
    <n v="914"/>
    <x v="1"/>
    <x v="2"/>
    <x v="2"/>
  </r>
  <r>
    <x v="962"/>
    <s v="Space this discussion fact."/>
    <s v="Other"/>
    <n v="3735"/>
    <x v="1"/>
    <x v="2"/>
    <x v="2"/>
  </r>
  <r>
    <x v="963"/>
    <s v="Brother let."/>
    <s v="Shopping"/>
    <n v="1369.59"/>
    <x v="0"/>
    <x v="2"/>
    <x v="2"/>
  </r>
  <r>
    <x v="964"/>
    <s v="Son yourself increase."/>
    <s v="Investment"/>
    <n v="2033"/>
    <x v="1"/>
    <x v="2"/>
    <x v="2"/>
  </r>
  <r>
    <x v="965"/>
    <s v="Night point action cut."/>
    <s v="Salary"/>
    <n v="1768.01"/>
    <x v="0"/>
    <x v="2"/>
    <x v="2"/>
  </r>
  <r>
    <x v="966"/>
    <s v="So film media."/>
    <s v="Investment"/>
    <n v="2917"/>
    <x v="1"/>
    <x v="2"/>
    <x v="2"/>
  </r>
  <r>
    <x v="967"/>
    <s v="Box four."/>
    <s v="Salary"/>
    <n v="131.35"/>
    <x v="0"/>
    <x v="2"/>
    <x v="2"/>
  </r>
  <r>
    <x v="968"/>
    <s v="Pattern ahead compare form full."/>
    <s v="Utilities"/>
    <n v="844.28"/>
    <x v="0"/>
    <x v="2"/>
    <x v="2"/>
  </r>
  <r>
    <x v="969"/>
    <s v="Something population loss physical."/>
    <s v="Entertainment"/>
    <n v="1265.2"/>
    <x v="0"/>
    <x v="2"/>
    <x v="2"/>
  </r>
  <r>
    <x v="970"/>
    <s v="Leg sport until argue."/>
    <s v="Food &amp; Drink"/>
    <n v="1978.91"/>
    <x v="0"/>
    <x v="2"/>
    <x v="2"/>
  </r>
  <r>
    <x v="971"/>
    <s v="North question new."/>
    <s v="Health &amp; Fitness"/>
    <n v="964.57"/>
    <x v="0"/>
    <x v="2"/>
    <x v="2"/>
  </r>
  <r>
    <x v="972"/>
    <s v="Officer forward trouble."/>
    <s v="Health &amp; Fitness"/>
    <n v="1826.23"/>
    <x v="0"/>
    <x v="2"/>
    <x v="2"/>
  </r>
  <r>
    <x v="973"/>
    <s v="Wide exactly."/>
    <s v="Shopping"/>
    <n v="548.16999999999996"/>
    <x v="0"/>
    <x v="2"/>
    <x v="2"/>
  </r>
  <r>
    <x v="974"/>
    <s v="Worker phone success number."/>
    <s v="Investment"/>
    <n v="740"/>
    <x v="1"/>
    <x v="2"/>
    <x v="2"/>
  </r>
  <r>
    <x v="975"/>
    <s v="Organization ten seem."/>
    <s v="Travel"/>
    <n v="126.6"/>
    <x v="0"/>
    <x v="2"/>
    <x v="2"/>
  </r>
  <r>
    <x v="976"/>
    <s v="Even beautiful."/>
    <s v="Health &amp; Fitness"/>
    <n v="1536.02"/>
    <x v="0"/>
    <x v="2"/>
    <x v="2"/>
  </r>
  <r>
    <x v="977"/>
    <s v="Later week democratic few."/>
    <s v="Utilities"/>
    <n v="209.27"/>
    <x v="0"/>
    <x v="2"/>
    <x v="2"/>
  </r>
  <r>
    <x v="978"/>
    <s v="Size sing tree kitchen."/>
    <s v="Travel"/>
    <n v="1072.04"/>
    <x v="0"/>
    <x v="2"/>
    <x v="2"/>
  </r>
  <r>
    <x v="979"/>
    <s v="Toward child future low."/>
    <s v="Food &amp; Drink"/>
    <n v="1530.46"/>
    <x v="0"/>
    <x v="2"/>
    <x v="2"/>
  </r>
  <r>
    <x v="980"/>
    <s v="Simply century the."/>
    <s v="Shopping"/>
    <n v="716.06"/>
    <x v="0"/>
    <x v="2"/>
    <x v="2"/>
  </r>
  <r>
    <x v="981"/>
    <s v="Day already hold."/>
    <s v="Utilities"/>
    <n v="360.44"/>
    <x v="0"/>
    <x v="2"/>
    <x v="2"/>
  </r>
  <r>
    <x v="982"/>
    <s v="About usually."/>
    <s v="Health &amp; Fitness"/>
    <n v="1828.82"/>
    <x v="0"/>
    <x v="2"/>
    <x v="2"/>
  </r>
  <r>
    <x v="983"/>
    <s v="Level animal minute probably."/>
    <s v="Other"/>
    <n v="1664"/>
    <x v="1"/>
    <x v="2"/>
    <x v="2"/>
  </r>
  <r>
    <x v="984"/>
    <s v="Officer fine."/>
    <s v="Entertainment"/>
    <n v="1675.03"/>
    <x v="0"/>
    <x v="2"/>
    <x v="2"/>
  </r>
  <r>
    <x v="985"/>
    <s v="Customer expert mother significant."/>
    <s v="Salary"/>
    <n v="1088.83"/>
    <x v="0"/>
    <x v="2"/>
    <x v="2"/>
  </r>
  <r>
    <x v="986"/>
    <s v="Chance event address."/>
    <s v="Investment"/>
    <n v="1239"/>
    <x v="1"/>
    <x v="2"/>
    <x v="2"/>
  </r>
  <r>
    <x v="987"/>
    <s v="Bill my near even wall."/>
    <s v="Investment"/>
    <n v="663"/>
    <x v="1"/>
    <x v="2"/>
    <x v="2"/>
  </r>
  <r>
    <x v="988"/>
    <s v="Each author party full kitchen."/>
    <s v="Food &amp; Drink"/>
    <n v="670.15"/>
    <x v="0"/>
    <x v="2"/>
    <x v="2"/>
  </r>
  <r>
    <x v="989"/>
    <s v="Likely push."/>
    <s v="Utilities"/>
    <n v="688.11"/>
    <x v="0"/>
    <x v="2"/>
    <x v="2"/>
  </r>
  <r>
    <x v="990"/>
    <s v="Approach interview condition other."/>
    <s v="Other"/>
    <n v="987"/>
    <x v="1"/>
    <x v="2"/>
    <x v="2"/>
  </r>
  <r>
    <x v="991"/>
    <s v="Green forward cup serve speak."/>
    <s v="Investment"/>
    <n v="1408"/>
    <x v="1"/>
    <x v="2"/>
    <x v="2"/>
  </r>
  <r>
    <x v="992"/>
    <s v="Nothing behavior sort recognize."/>
    <s v="Health &amp; Fitness"/>
    <n v="1921.51"/>
    <x v="0"/>
    <x v="2"/>
    <x v="2"/>
  </r>
  <r>
    <x v="993"/>
    <s v="Financial popular short like."/>
    <s v="Shopping"/>
    <n v="1176.17"/>
    <x v="0"/>
    <x v="2"/>
    <x v="2"/>
  </r>
  <r>
    <x v="994"/>
    <s v="Technology pay tree."/>
    <s v="Health &amp; Fitness"/>
    <n v="281.54000000000002"/>
    <x v="0"/>
    <x v="2"/>
    <x v="2"/>
  </r>
  <r>
    <x v="995"/>
    <s v="Record professor small."/>
    <s v="Other"/>
    <n v="4491"/>
    <x v="1"/>
    <x v="2"/>
    <x v="2"/>
  </r>
  <r>
    <x v="996"/>
    <s v="Maintain assume both long."/>
    <s v="Utilities"/>
    <n v="1417.29"/>
    <x v="0"/>
    <x v="2"/>
    <x v="2"/>
  </r>
  <r>
    <x v="997"/>
    <s v="Should page camera."/>
    <s v="Health &amp; Fitness"/>
    <n v="454.24"/>
    <x v="0"/>
    <x v="2"/>
    <x v="2"/>
  </r>
  <r>
    <x v="998"/>
    <s v="Stage someone for power."/>
    <s v="Utilities"/>
    <n v="762.98"/>
    <x v="0"/>
    <x v="2"/>
    <x v="2"/>
  </r>
  <r>
    <x v="999"/>
    <s v="Leave opportunity draw during city."/>
    <s v="Travel"/>
    <n v="263.42"/>
    <x v="0"/>
    <x v="2"/>
    <x v="2"/>
  </r>
  <r>
    <x v="1000"/>
    <s v="At decade really issue."/>
    <s v="Shopping"/>
    <n v="1703.01"/>
    <x v="0"/>
    <x v="2"/>
    <x v="2"/>
  </r>
  <r>
    <x v="1001"/>
    <s v="Skin name door production back."/>
    <s v="Food &amp; Drink"/>
    <n v="372.34"/>
    <x v="0"/>
    <x v="2"/>
    <x v="2"/>
  </r>
  <r>
    <x v="1002"/>
    <s v="Boy other foot best."/>
    <s v="Entertainment"/>
    <n v="1282.9000000000001"/>
    <x v="0"/>
    <x v="2"/>
    <x v="2"/>
  </r>
  <r>
    <x v="1003"/>
    <s v="Final image our."/>
    <s v="Other"/>
    <n v="1652"/>
    <x v="1"/>
    <x v="2"/>
    <x v="2"/>
  </r>
  <r>
    <x v="1004"/>
    <s v="Management produce bed stage."/>
    <s v="Rent"/>
    <n v="483.61"/>
    <x v="0"/>
    <x v="2"/>
    <x v="2"/>
  </r>
  <r>
    <x v="1005"/>
    <s v="Serious produce."/>
    <s v="Utilities"/>
    <n v="1276.01"/>
    <x v="0"/>
    <x v="2"/>
    <x v="2"/>
  </r>
  <r>
    <x v="1006"/>
    <s v="Factor past language day theory."/>
    <s v="Health &amp; Fitness"/>
    <n v="898.79"/>
    <x v="0"/>
    <x v="2"/>
    <x v="2"/>
  </r>
  <r>
    <x v="1007"/>
    <s v="Some quickly truth view response."/>
    <s v="Entertainment"/>
    <n v="1389.42"/>
    <x v="0"/>
    <x v="2"/>
    <x v="2"/>
  </r>
  <r>
    <x v="1008"/>
    <s v="Old particularly."/>
    <s v="Rent"/>
    <n v="1443.62"/>
    <x v="0"/>
    <x v="2"/>
    <x v="2"/>
  </r>
  <r>
    <x v="1009"/>
    <s v="Summer system artist too."/>
    <s v="Other"/>
    <n v="3937"/>
    <x v="1"/>
    <x v="2"/>
    <x v="2"/>
  </r>
  <r>
    <x v="1010"/>
    <s v="Reflect star."/>
    <s v="Shopping"/>
    <n v="991.23"/>
    <x v="0"/>
    <x v="2"/>
    <x v="2"/>
  </r>
  <r>
    <x v="1011"/>
    <s v="Technology tend."/>
    <s v="Shopping"/>
    <n v="211.84"/>
    <x v="0"/>
    <x v="2"/>
    <x v="2"/>
  </r>
  <r>
    <x v="1012"/>
    <s v="Reduce hour fish him."/>
    <s v="Entertainment"/>
    <n v="333.69"/>
    <x v="0"/>
    <x v="2"/>
    <x v="2"/>
  </r>
  <r>
    <x v="1013"/>
    <s v="Nation production little could."/>
    <s v="Investment"/>
    <n v="2915"/>
    <x v="1"/>
    <x v="2"/>
    <x v="2"/>
  </r>
  <r>
    <x v="1014"/>
    <s v="Style child young prove."/>
    <s v="Other"/>
    <n v="1357"/>
    <x v="1"/>
    <x v="2"/>
    <x v="2"/>
  </r>
  <r>
    <x v="1015"/>
    <s v="Author administration."/>
    <s v="Investment"/>
    <n v="3575"/>
    <x v="1"/>
    <x v="2"/>
    <x v="2"/>
  </r>
  <r>
    <x v="1016"/>
    <s v="Window career case south."/>
    <s v="Investment"/>
    <n v="4981"/>
    <x v="1"/>
    <x v="2"/>
    <x v="2"/>
  </r>
  <r>
    <x v="1017"/>
    <s v="Us perhaps lawyer interest star."/>
    <s v="Rent"/>
    <n v="682.52"/>
    <x v="0"/>
    <x v="2"/>
    <x v="2"/>
  </r>
  <r>
    <x v="1018"/>
    <s v="Difficult interesting account marriage."/>
    <s v="Salary"/>
    <n v="1411.96"/>
    <x v="0"/>
    <x v="2"/>
    <x v="2"/>
  </r>
  <r>
    <x v="1019"/>
    <s v="Especially unit office almost."/>
    <s v="Utilities"/>
    <n v="1218.56"/>
    <x v="0"/>
    <x v="2"/>
    <x v="2"/>
  </r>
  <r>
    <x v="1020"/>
    <s v="Low happy oil which bag."/>
    <s v="Food &amp; Drink"/>
    <n v="211.5"/>
    <x v="0"/>
    <x v="2"/>
    <x v="2"/>
  </r>
  <r>
    <x v="1021"/>
    <s v="Let back three."/>
    <s v="Entertainment"/>
    <n v="824.47"/>
    <x v="0"/>
    <x v="2"/>
    <x v="2"/>
  </r>
  <r>
    <x v="1022"/>
    <s v="Line score whether."/>
    <s v="Travel"/>
    <n v="1324.59"/>
    <x v="0"/>
    <x v="2"/>
    <x v="2"/>
  </r>
  <r>
    <x v="1023"/>
    <s v="Something fine apply gas sing."/>
    <s v="Rent"/>
    <n v="108.77"/>
    <x v="0"/>
    <x v="2"/>
    <x v="2"/>
  </r>
  <r>
    <x v="1024"/>
    <s v="Mention light safe inside."/>
    <s v="Salary"/>
    <n v="315.64"/>
    <x v="0"/>
    <x v="2"/>
    <x v="2"/>
  </r>
  <r>
    <x v="1025"/>
    <s v="Cold reason our."/>
    <s v="Shopping"/>
    <n v="184.38"/>
    <x v="0"/>
    <x v="2"/>
    <x v="2"/>
  </r>
  <r>
    <x v="1026"/>
    <s v="Employee picture official of prevent."/>
    <s v="Salary"/>
    <n v="407.35"/>
    <x v="0"/>
    <x v="2"/>
    <x v="2"/>
  </r>
  <r>
    <x v="1027"/>
    <s v="Agree machine camera baby six."/>
    <s v="Investment"/>
    <n v="2890"/>
    <x v="1"/>
    <x v="2"/>
    <x v="2"/>
  </r>
  <r>
    <x v="1028"/>
    <s v="Past every either."/>
    <s v="Salary"/>
    <n v="1689.1"/>
    <x v="0"/>
    <x v="2"/>
    <x v="2"/>
  </r>
  <r>
    <x v="1029"/>
    <s v="Company option character land space."/>
    <s v="Shopping"/>
    <n v="947.18"/>
    <x v="0"/>
    <x v="2"/>
    <x v="2"/>
  </r>
  <r>
    <x v="1030"/>
    <s v="Machine son television."/>
    <s v="Travel"/>
    <n v="191.36"/>
    <x v="0"/>
    <x v="2"/>
    <x v="2"/>
  </r>
  <r>
    <x v="1031"/>
    <s v="Whose other."/>
    <s v="Utilities"/>
    <n v="748.33"/>
    <x v="0"/>
    <x v="2"/>
    <x v="2"/>
  </r>
  <r>
    <x v="1032"/>
    <s v="Sell include himself produce."/>
    <s v="Utilities"/>
    <n v="897.09"/>
    <x v="0"/>
    <x v="2"/>
    <x v="2"/>
  </r>
  <r>
    <x v="1033"/>
    <s v="Official success approach."/>
    <s v="Salary"/>
    <n v="534.16999999999996"/>
    <x v="0"/>
    <x v="2"/>
    <x v="2"/>
  </r>
  <r>
    <x v="1034"/>
    <s v="Apply less."/>
    <s v="Food &amp; Drink"/>
    <n v="310.75"/>
    <x v="0"/>
    <x v="2"/>
    <x v="2"/>
  </r>
  <r>
    <x v="1035"/>
    <s v="Live way two."/>
    <s v="Rent"/>
    <n v="180.56"/>
    <x v="0"/>
    <x v="2"/>
    <x v="2"/>
  </r>
  <r>
    <x v="1036"/>
    <s v="Raise hope enjoy most."/>
    <s v="Shopping"/>
    <n v="1941.7"/>
    <x v="0"/>
    <x v="2"/>
    <x v="2"/>
  </r>
  <r>
    <x v="1037"/>
    <s v="Eye something."/>
    <s v="Food &amp; Drink"/>
    <n v="1683.19"/>
    <x v="0"/>
    <x v="2"/>
    <x v="2"/>
  </r>
  <r>
    <x v="1038"/>
    <s v="Which raise american truth."/>
    <s v="Shopping"/>
    <n v="1931.6"/>
    <x v="0"/>
    <x v="2"/>
    <x v="2"/>
  </r>
  <r>
    <x v="1039"/>
    <s v="Particular present evening establish."/>
    <s v="Salary"/>
    <n v="1149.7"/>
    <x v="0"/>
    <x v="2"/>
    <x v="2"/>
  </r>
  <r>
    <x v="1040"/>
    <s v="Pressure hospital significant."/>
    <s v="Travel"/>
    <n v="167.12"/>
    <x v="0"/>
    <x v="2"/>
    <x v="2"/>
  </r>
  <r>
    <x v="1041"/>
    <s v="Side mind question year finish."/>
    <s v="Food &amp; Drink"/>
    <n v="1009.18"/>
    <x v="0"/>
    <x v="2"/>
    <x v="2"/>
  </r>
  <r>
    <x v="1042"/>
    <s v="Story activity."/>
    <s v="Utilities"/>
    <n v="249.36"/>
    <x v="0"/>
    <x v="2"/>
    <x v="2"/>
  </r>
  <r>
    <x v="1043"/>
    <s v="Billion land detail exist cover."/>
    <s v="Utilities"/>
    <n v="1898.63"/>
    <x v="0"/>
    <x v="2"/>
    <x v="2"/>
  </r>
  <r>
    <x v="1044"/>
    <s v="Begin voice prevent structure wear."/>
    <s v="Investment"/>
    <n v="2078"/>
    <x v="1"/>
    <x v="2"/>
    <x v="2"/>
  </r>
  <r>
    <x v="1045"/>
    <s v="Beat painting heavy."/>
    <s v="Other"/>
    <n v="1141"/>
    <x v="1"/>
    <x v="2"/>
    <x v="2"/>
  </r>
  <r>
    <x v="1046"/>
    <s v="To receive education."/>
    <s v="Shopping"/>
    <n v="411.82"/>
    <x v="0"/>
    <x v="2"/>
    <x v="2"/>
  </r>
  <r>
    <x v="1047"/>
    <s v="Police two."/>
    <s v="Utilities"/>
    <n v="1669.88"/>
    <x v="0"/>
    <x v="2"/>
    <x v="2"/>
  </r>
  <r>
    <x v="1048"/>
    <s v="Realize property show either."/>
    <s v="Rent"/>
    <n v="183.18"/>
    <x v="0"/>
    <x v="2"/>
    <x v="2"/>
  </r>
  <r>
    <x v="1049"/>
    <s v="Since him four."/>
    <s v="Health &amp; Fitness"/>
    <n v="1714.68"/>
    <x v="0"/>
    <x v="2"/>
    <x v="2"/>
  </r>
  <r>
    <x v="1050"/>
    <s v="Western enough key."/>
    <s v="Food &amp; Drink"/>
    <n v="1575.24"/>
    <x v="0"/>
    <x v="2"/>
    <x v="2"/>
  </r>
  <r>
    <x v="1051"/>
    <s v="Particular condition man."/>
    <s v="Shopping"/>
    <n v="233.91"/>
    <x v="0"/>
    <x v="2"/>
    <x v="2"/>
  </r>
  <r>
    <x v="1052"/>
    <s v="Shoulder despite poor tree resource."/>
    <s v="Investment"/>
    <n v="1365"/>
    <x v="1"/>
    <x v="2"/>
    <x v="2"/>
  </r>
  <r>
    <x v="1053"/>
    <s v="Authority number."/>
    <s v="Rent"/>
    <n v="1573.63"/>
    <x v="0"/>
    <x v="2"/>
    <x v="2"/>
  </r>
  <r>
    <x v="1054"/>
    <s v="Affect marriage present a."/>
    <s v="Health &amp; Fitness"/>
    <n v="1757.01"/>
    <x v="0"/>
    <x v="2"/>
    <x v="2"/>
  </r>
  <r>
    <x v="1055"/>
    <s v="Entire record toward off."/>
    <s v="Salary"/>
    <n v="1148.33"/>
    <x v="0"/>
    <x v="2"/>
    <x v="2"/>
  </r>
  <r>
    <x v="1056"/>
    <s v="Long identify road speech."/>
    <s v="Utilities"/>
    <n v="558.07000000000005"/>
    <x v="0"/>
    <x v="2"/>
    <x v="2"/>
  </r>
  <r>
    <x v="1057"/>
    <s v="Difficult his ready sister building."/>
    <s v="Other"/>
    <n v="817"/>
    <x v="1"/>
    <x v="2"/>
    <x v="2"/>
  </r>
  <r>
    <x v="1058"/>
    <s v="Four field area young."/>
    <s v="Health &amp; Fitness"/>
    <n v="1384.12"/>
    <x v="0"/>
    <x v="2"/>
    <x v="2"/>
  </r>
  <r>
    <x v="1059"/>
    <s v="Movement which ball least."/>
    <s v="Other"/>
    <n v="2700"/>
    <x v="1"/>
    <x v="2"/>
    <x v="2"/>
  </r>
  <r>
    <x v="1060"/>
    <s v="Computer always his."/>
    <s v="Food &amp; Drink"/>
    <n v="682.35"/>
    <x v="0"/>
    <x v="2"/>
    <x v="2"/>
  </r>
  <r>
    <x v="1061"/>
    <s v="Receive to piece."/>
    <s v="Travel"/>
    <n v="567.89"/>
    <x v="0"/>
    <x v="2"/>
    <x v="2"/>
  </r>
  <r>
    <x v="1062"/>
    <s v="Be plan same cause."/>
    <s v="Rent"/>
    <n v="1945.27"/>
    <x v="0"/>
    <x v="2"/>
    <x v="2"/>
  </r>
  <r>
    <x v="1063"/>
    <s v="Rest or."/>
    <s v="Travel"/>
    <n v="1948.7"/>
    <x v="0"/>
    <x v="2"/>
    <x v="2"/>
  </r>
  <r>
    <x v="1064"/>
    <s v="As music film move."/>
    <s v="Health &amp; Fitness"/>
    <n v="546.15"/>
    <x v="0"/>
    <x v="2"/>
    <x v="2"/>
  </r>
  <r>
    <x v="1065"/>
    <s v="Already argue."/>
    <s v="Rent"/>
    <n v="383.99"/>
    <x v="0"/>
    <x v="2"/>
    <x v="2"/>
  </r>
  <r>
    <x v="1066"/>
    <s v="Brother southern project learn."/>
    <s v="Shopping"/>
    <n v="1484.48"/>
    <x v="0"/>
    <x v="2"/>
    <x v="2"/>
  </r>
  <r>
    <x v="1067"/>
    <s v="Scientist do author."/>
    <s v="Health &amp; Fitness"/>
    <n v="1643.82"/>
    <x v="0"/>
    <x v="2"/>
    <x v="2"/>
  </r>
  <r>
    <x v="1068"/>
    <s v="President likely truth animal."/>
    <s v="Utilities"/>
    <n v="140.58000000000001"/>
    <x v="0"/>
    <x v="2"/>
    <x v="2"/>
  </r>
  <r>
    <x v="1069"/>
    <s v="Common anyone."/>
    <s v="Shopping"/>
    <n v="279.94"/>
    <x v="0"/>
    <x v="2"/>
    <x v="2"/>
  </r>
  <r>
    <x v="1070"/>
    <s v="Lay color."/>
    <s v="Food &amp; Drink"/>
    <n v="355.74"/>
    <x v="0"/>
    <x v="2"/>
    <x v="2"/>
  </r>
  <r>
    <x v="1071"/>
    <s v="Box organization."/>
    <s v="Entertainment"/>
    <n v="1675.58"/>
    <x v="0"/>
    <x v="2"/>
    <x v="2"/>
  </r>
  <r>
    <x v="1072"/>
    <s v="Source international."/>
    <s v="Salary"/>
    <n v="110.61"/>
    <x v="0"/>
    <x v="2"/>
    <x v="2"/>
  </r>
  <r>
    <x v="1073"/>
    <s v="Building range national focus."/>
    <s v="Entertainment"/>
    <n v="555.22"/>
    <x v="0"/>
    <x v="2"/>
    <x v="2"/>
  </r>
  <r>
    <x v="1074"/>
    <s v="Or friend."/>
    <s v="Shopping"/>
    <n v="1274.47"/>
    <x v="0"/>
    <x v="2"/>
    <x v="2"/>
  </r>
  <r>
    <x v="1075"/>
    <s v="Center indeed recent."/>
    <s v="Investment"/>
    <n v="2481"/>
    <x v="1"/>
    <x v="2"/>
    <x v="2"/>
  </r>
  <r>
    <x v="1076"/>
    <s v="Just understand american."/>
    <s v="Salary"/>
    <n v="363.39"/>
    <x v="0"/>
    <x v="2"/>
    <x v="2"/>
  </r>
  <r>
    <x v="1077"/>
    <s v="Partner sing administration main according."/>
    <s v="Health &amp; Fitness"/>
    <n v="695.06"/>
    <x v="0"/>
    <x v="2"/>
    <x v="2"/>
  </r>
  <r>
    <x v="1078"/>
    <s v="Religious order."/>
    <s v="Travel"/>
    <n v="1500.43"/>
    <x v="0"/>
    <x v="2"/>
    <x v="2"/>
  </r>
  <r>
    <x v="1079"/>
    <s v="Really society live camera."/>
    <s v="Travel"/>
    <n v="64.63"/>
    <x v="0"/>
    <x v="2"/>
    <x v="2"/>
  </r>
  <r>
    <x v="1080"/>
    <s v="Mission include visit."/>
    <s v="Investment"/>
    <n v="2313"/>
    <x v="1"/>
    <x v="2"/>
    <x v="2"/>
  </r>
  <r>
    <x v="1081"/>
    <s v="Conference matter wear physical site."/>
    <s v="Entertainment"/>
    <n v="545.48"/>
    <x v="0"/>
    <x v="2"/>
    <x v="2"/>
  </r>
  <r>
    <x v="1082"/>
    <s v="Above dog brother morning."/>
    <s v="Food &amp; Drink"/>
    <n v="1730.61"/>
    <x v="0"/>
    <x v="2"/>
    <x v="2"/>
  </r>
  <r>
    <x v="1083"/>
    <s v="Gun seven music despite show."/>
    <s v="Food &amp; Drink"/>
    <n v="953.45"/>
    <x v="0"/>
    <x v="2"/>
    <x v="2"/>
  </r>
  <r>
    <x v="1084"/>
    <s v="Apply both chance."/>
    <s v="Investment"/>
    <n v="569"/>
    <x v="1"/>
    <x v="2"/>
    <x v="2"/>
  </r>
  <r>
    <x v="1085"/>
    <s v="Computer prove amount population."/>
    <s v="Travel"/>
    <n v="1428.35"/>
    <x v="0"/>
    <x v="2"/>
    <x v="2"/>
  </r>
  <r>
    <x v="1086"/>
    <s v="Itself free source."/>
    <s v="Travel"/>
    <n v="853.38"/>
    <x v="0"/>
    <x v="2"/>
    <x v="2"/>
  </r>
  <r>
    <x v="1087"/>
    <s v="Bit appear."/>
    <s v="Health &amp; Fitness"/>
    <n v="923.41"/>
    <x v="0"/>
    <x v="2"/>
    <x v="2"/>
  </r>
  <r>
    <x v="1088"/>
    <s v="Citizen ahead method."/>
    <s v="Travel"/>
    <n v="1357.62"/>
    <x v="0"/>
    <x v="2"/>
    <x v="2"/>
  </r>
  <r>
    <x v="1089"/>
    <s v="Return or for."/>
    <s v="Shopping"/>
    <n v="1173.1300000000001"/>
    <x v="0"/>
    <x v="2"/>
    <x v="2"/>
  </r>
  <r>
    <x v="1090"/>
    <s v="Discover body direction down."/>
    <s v="Other"/>
    <n v="2815"/>
    <x v="1"/>
    <x v="2"/>
    <x v="2"/>
  </r>
  <r>
    <x v="1091"/>
    <s v="Heart determine likely."/>
    <s v="Rent"/>
    <n v="968.66"/>
    <x v="0"/>
    <x v="2"/>
    <x v="2"/>
  </r>
  <r>
    <x v="1092"/>
    <s v="Three certain."/>
    <s v="Travel"/>
    <n v="1284.78"/>
    <x v="0"/>
    <x v="2"/>
    <x v="2"/>
  </r>
  <r>
    <x v="1093"/>
    <s v="Hold carry rest."/>
    <s v="Travel"/>
    <n v="1315.68"/>
    <x v="0"/>
    <x v="2"/>
    <x v="2"/>
  </r>
  <r>
    <x v="1094"/>
    <s v="Dark camera realize."/>
    <s v="Travel"/>
    <n v="384.84"/>
    <x v="0"/>
    <x v="2"/>
    <x v="2"/>
  </r>
  <r>
    <x v="1095"/>
    <s v="Carry surface learn."/>
    <s v="Entertainment"/>
    <n v="1800.38"/>
    <x v="0"/>
    <x v="3"/>
    <x v="3"/>
  </r>
  <r>
    <x v="1096"/>
    <s v="Detail far church some."/>
    <s v="Shopping"/>
    <n v="1324.46"/>
    <x v="0"/>
    <x v="3"/>
    <x v="3"/>
  </r>
  <r>
    <x v="1097"/>
    <s v="Wife talk beat tax majority."/>
    <s v="Food &amp; Drink"/>
    <n v="1314.25"/>
    <x v="0"/>
    <x v="3"/>
    <x v="3"/>
  </r>
  <r>
    <x v="1098"/>
    <s v="List leg address into their."/>
    <s v="Travel"/>
    <n v="1814.75"/>
    <x v="0"/>
    <x v="3"/>
    <x v="3"/>
  </r>
  <r>
    <x v="1099"/>
    <s v="Its develop until watch."/>
    <s v="Food &amp; Drink"/>
    <n v="1170.22"/>
    <x v="0"/>
    <x v="3"/>
    <x v="3"/>
  </r>
  <r>
    <x v="1100"/>
    <s v="Individual analysis."/>
    <s v="Entertainment"/>
    <n v="692.9"/>
    <x v="0"/>
    <x v="3"/>
    <x v="3"/>
  </r>
  <r>
    <x v="1101"/>
    <s v="Almost most look something."/>
    <s v="Salary"/>
    <n v="1813.99"/>
    <x v="0"/>
    <x v="3"/>
    <x v="3"/>
  </r>
  <r>
    <x v="1102"/>
    <s v="Manager bar send really."/>
    <s v="Travel"/>
    <n v="1692.38"/>
    <x v="0"/>
    <x v="3"/>
    <x v="3"/>
  </r>
  <r>
    <x v="1103"/>
    <s v="Car fast positive."/>
    <s v="Utilities"/>
    <n v="594.63"/>
    <x v="0"/>
    <x v="3"/>
    <x v="3"/>
  </r>
  <r>
    <x v="1104"/>
    <s v="Look fight."/>
    <s v="Travel"/>
    <n v="1453.12"/>
    <x v="0"/>
    <x v="3"/>
    <x v="3"/>
  </r>
  <r>
    <x v="1105"/>
    <s v="Section agency lawyer sign them."/>
    <s v="Utilities"/>
    <n v="1894.38"/>
    <x v="0"/>
    <x v="3"/>
    <x v="3"/>
  </r>
  <r>
    <x v="1106"/>
    <s v="Smile have less."/>
    <s v="Rent"/>
    <n v="452.28"/>
    <x v="0"/>
    <x v="3"/>
    <x v="3"/>
  </r>
  <r>
    <x v="1107"/>
    <s v="Audience throw four allow international."/>
    <s v="Travel"/>
    <n v="846.74"/>
    <x v="0"/>
    <x v="3"/>
    <x v="3"/>
  </r>
  <r>
    <x v="1108"/>
    <s v="My some skin ball thing."/>
    <s v="Health &amp; Fitness"/>
    <n v="528.51"/>
    <x v="0"/>
    <x v="3"/>
    <x v="3"/>
  </r>
  <r>
    <x v="1109"/>
    <s v="War push thousand book half."/>
    <s v="Rent"/>
    <n v="946.37"/>
    <x v="0"/>
    <x v="3"/>
    <x v="3"/>
  </r>
  <r>
    <x v="1110"/>
    <s v="Hand possible relate night."/>
    <s v="Rent"/>
    <n v="949.72"/>
    <x v="0"/>
    <x v="3"/>
    <x v="3"/>
  </r>
  <r>
    <x v="1111"/>
    <s v="Wonder draw box."/>
    <s v="Investment"/>
    <n v="3626"/>
    <x v="1"/>
    <x v="3"/>
    <x v="3"/>
  </r>
  <r>
    <x v="1112"/>
    <s v="That reflect send set fly."/>
    <s v="Shopping"/>
    <n v="117.58"/>
    <x v="0"/>
    <x v="3"/>
    <x v="3"/>
  </r>
  <r>
    <x v="1113"/>
    <s v="Quite everyone as generation."/>
    <s v="Utilities"/>
    <n v="1984.77"/>
    <x v="0"/>
    <x v="3"/>
    <x v="3"/>
  </r>
  <r>
    <x v="1114"/>
    <s v="Money but report question."/>
    <s v="Salary"/>
    <n v="295.02"/>
    <x v="0"/>
    <x v="3"/>
    <x v="3"/>
  </r>
  <r>
    <x v="1115"/>
    <s v="Later happy pull."/>
    <s v="Utilities"/>
    <n v="1560.09"/>
    <x v="0"/>
    <x v="3"/>
    <x v="3"/>
  </r>
  <r>
    <x v="1116"/>
    <s v="Throughout leader bag."/>
    <s v="Utilities"/>
    <n v="633.69000000000005"/>
    <x v="0"/>
    <x v="3"/>
    <x v="3"/>
  </r>
  <r>
    <x v="1117"/>
    <s v="When baby clearly."/>
    <s v="Other"/>
    <n v="2740"/>
    <x v="1"/>
    <x v="3"/>
    <x v="3"/>
  </r>
  <r>
    <x v="1118"/>
    <s v="Many themselves minute."/>
    <s v="Utilities"/>
    <n v="1156.8"/>
    <x v="0"/>
    <x v="3"/>
    <x v="3"/>
  </r>
  <r>
    <x v="1119"/>
    <s v="Indicate radio use."/>
    <s v="Investment"/>
    <n v="1560"/>
    <x v="1"/>
    <x v="3"/>
    <x v="3"/>
  </r>
  <r>
    <x v="1120"/>
    <s v="Information scene again country."/>
    <s v="Shopping"/>
    <n v="812.75"/>
    <x v="0"/>
    <x v="3"/>
    <x v="3"/>
  </r>
  <r>
    <x v="1121"/>
    <s v="Strong mind from."/>
    <s v="Shopping"/>
    <n v="19.29"/>
    <x v="0"/>
    <x v="3"/>
    <x v="3"/>
  </r>
  <r>
    <x v="1122"/>
    <s v="Pretty skin main program."/>
    <s v="Health &amp; Fitness"/>
    <n v="1900.64"/>
    <x v="0"/>
    <x v="3"/>
    <x v="3"/>
  </r>
  <r>
    <x v="1123"/>
    <s v="Knowledge fight car smile commercial."/>
    <s v="Entertainment"/>
    <n v="45.65"/>
    <x v="0"/>
    <x v="3"/>
    <x v="3"/>
  </r>
  <r>
    <x v="1124"/>
    <s v="Machine wife show."/>
    <s v="Investment"/>
    <n v="2353"/>
    <x v="1"/>
    <x v="3"/>
    <x v="3"/>
  </r>
  <r>
    <x v="1125"/>
    <s v="Good lay coach."/>
    <s v="Health &amp; Fitness"/>
    <n v="631.05999999999995"/>
    <x v="0"/>
    <x v="3"/>
    <x v="3"/>
  </r>
  <r>
    <x v="1126"/>
    <s v="Expect win stuff realize project."/>
    <s v="Other"/>
    <n v="1868"/>
    <x v="1"/>
    <x v="3"/>
    <x v="3"/>
  </r>
  <r>
    <x v="1127"/>
    <s v="Draw american first."/>
    <s v="Investment"/>
    <n v="2942"/>
    <x v="1"/>
    <x v="3"/>
    <x v="3"/>
  </r>
  <r>
    <x v="1128"/>
    <s v="Employee continue none alone."/>
    <s v="Salary"/>
    <n v="1458.39"/>
    <x v="0"/>
    <x v="3"/>
    <x v="3"/>
  </r>
  <r>
    <x v="1129"/>
    <s v="Challenge large wish move."/>
    <s v="Health &amp; Fitness"/>
    <n v="872.99"/>
    <x v="0"/>
    <x v="3"/>
    <x v="3"/>
  </r>
  <r>
    <x v="1130"/>
    <s v="Identify material."/>
    <s v="Utilities"/>
    <n v="692.04"/>
    <x v="0"/>
    <x v="3"/>
    <x v="3"/>
  </r>
  <r>
    <x v="1131"/>
    <s v="Until choose wife national."/>
    <s v="Health &amp; Fitness"/>
    <n v="1502.73"/>
    <x v="0"/>
    <x v="3"/>
    <x v="3"/>
  </r>
  <r>
    <x v="1132"/>
    <s v="Positive far time wide."/>
    <s v="Other"/>
    <n v="656"/>
    <x v="1"/>
    <x v="3"/>
    <x v="3"/>
  </r>
  <r>
    <x v="1133"/>
    <s v="Son rock two."/>
    <s v="Utilities"/>
    <n v="430.27"/>
    <x v="0"/>
    <x v="3"/>
    <x v="3"/>
  </r>
  <r>
    <x v="1134"/>
    <s v="Rule too."/>
    <s v="Investment"/>
    <n v="1508"/>
    <x v="1"/>
    <x v="3"/>
    <x v="3"/>
  </r>
  <r>
    <x v="1135"/>
    <s v="Bring agent pay detail group."/>
    <s v="Food &amp; Drink"/>
    <n v="756.63"/>
    <x v="0"/>
    <x v="3"/>
    <x v="3"/>
  </r>
  <r>
    <x v="1136"/>
    <s v="Part crime."/>
    <s v="Food &amp; Drink"/>
    <n v="1191.9100000000001"/>
    <x v="0"/>
    <x v="3"/>
    <x v="3"/>
  </r>
  <r>
    <x v="1137"/>
    <s v="Sit short cultural."/>
    <s v="Investment"/>
    <n v="661"/>
    <x v="1"/>
    <x v="3"/>
    <x v="3"/>
  </r>
  <r>
    <x v="1138"/>
    <s v="Support quality whatever wish hour."/>
    <s v="Investment"/>
    <n v="3914"/>
    <x v="1"/>
    <x v="3"/>
    <x v="3"/>
  </r>
  <r>
    <x v="1139"/>
    <s v="Owner memory argue project."/>
    <s v="Rent"/>
    <n v="1099.0899999999999"/>
    <x v="0"/>
    <x v="3"/>
    <x v="3"/>
  </r>
  <r>
    <x v="1140"/>
    <s v="Respond into history."/>
    <s v="Utilities"/>
    <n v="418.93"/>
    <x v="0"/>
    <x v="3"/>
    <x v="3"/>
  </r>
  <r>
    <x v="1141"/>
    <s v="General final knowledge."/>
    <s v="Food &amp; Drink"/>
    <n v="609.22"/>
    <x v="0"/>
    <x v="3"/>
    <x v="3"/>
  </r>
  <r>
    <x v="1142"/>
    <s v="Democratic thousand."/>
    <s v="Travel"/>
    <n v="1249.3699999999999"/>
    <x v="0"/>
    <x v="3"/>
    <x v="3"/>
  </r>
  <r>
    <x v="1143"/>
    <s v="Eye south wife interest."/>
    <s v="Shopping"/>
    <n v="1663"/>
    <x v="0"/>
    <x v="3"/>
    <x v="3"/>
  </r>
  <r>
    <x v="1144"/>
    <s v="Structure our century."/>
    <s v="Investment"/>
    <n v="2815"/>
    <x v="1"/>
    <x v="3"/>
    <x v="3"/>
  </r>
  <r>
    <x v="1145"/>
    <s v="Write moment friend value."/>
    <s v="Investment"/>
    <n v="4577"/>
    <x v="1"/>
    <x v="3"/>
    <x v="3"/>
  </r>
  <r>
    <x v="1146"/>
    <s v="According police."/>
    <s v="Investment"/>
    <n v="2654"/>
    <x v="1"/>
    <x v="3"/>
    <x v="3"/>
  </r>
  <r>
    <x v="1147"/>
    <s v="Company left nothing trip."/>
    <s v="Entertainment"/>
    <n v="722.26"/>
    <x v="0"/>
    <x v="3"/>
    <x v="3"/>
  </r>
  <r>
    <x v="1148"/>
    <s v="Strategy face make."/>
    <s v="Utilities"/>
    <n v="88.42"/>
    <x v="0"/>
    <x v="3"/>
    <x v="3"/>
  </r>
  <r>
    <x v="1149"/>
    <s v="Fight nice less agree able."/>
    <s v="Entertainment"/>
    <n v="1379.53"/>
    <x v="0"/>
    <x v="3"/>
    <x v="3"/>
  </r>
  <r>
    <x v="1150"/>
    <s v="What strong line."/>
    <s v="Entertainment"/>
    <n v="15.45"/>
    <x v="0"/>
    <x v="3"/>
    <x v="3"/>
  </r>
  <r>
    <x v="1151"/>
    <s v="Conference trade population agreement."/>
    <s v="Rent"/>
    <n v="1672.11"/>
    <x v="0"/>
    <x v="3"/>
    <x v="3"/>
  </r>
  <r>
    <x v="1152"/>
    <s v="Yes at seat ok."/>
    <s v="Utilities"/>
    <n v="1899.4"/>
    <x v="0"/>
    <x v="3"/>
    <x v="3"/>
  </r>
  <r>
    <x v="1153"/>
    <s v="Than physical live reason."/>
    <s v="Rent"/>
    <n v="1449.89"/>
    <x v="0"/>
    <x v="3"/>
    <x v="3"/>
  </r>
  <r>
    <x v="1154"/>
    <s v="Mention offer suddenly clear."/>
    <s v="Other"/>
    <n v="2393"/>
    <x v="1"/>
    <x v="3"/>
    <x v="3"/>
  </r>
  <r>
    <x v="1155"/>
    <s v="Floor there career."/>
    <s v="Travel"/>
    <n v="535.61"/>
    <x v="0"/>
    <x v="3"/>
    <x v="3"/>
  </r>
  <r>
    <x v="1156"/>
    <s v="Evening information."/>
    <s v="Investment"/>
    <n v="823"/>
    <x v="1"/>
    <x v="3"/>
    <x v="3"/>
  </r>
  <r>
    <x v="1157"/>
    <s v="Face morning."/>
    <s v="Health &amp; Fitness"/>
    <n v="1605.18"/>
    <x v="0"/>
    <x v="3"/>
    <x v="3"/>
  </r>
  <r>
    <x v="1158"/>
    <s v="Create physical share out cold."/>
    <s v="Rent"/>
    <n v="199.05"/>
    <x v="0"/>
    <x v="3"/>
    <x v="3"/>
  </r>
  <r>
    <x v="1159"/>
    <s v="Step rate feeling rate."/>
    <s v="Food &amp; Drink"/>
    <n v="29.25"/>
    <x v="0"/>
    <x v="3"/>
    <x v="3"/>
  </r>
  <r>
    <x v="1160"/>
    <s v="Move goal."/>
    <s v="Investment"/>
    <n v="3192"/>
    <x v="1"/>
    <x v="3"/>
    <x v="3"/>
  </r>
  <r>
    <x v="1161"/>
    <s v="Carry example."/>
    <s v="Salary"/>
    <n v="1910.63"/>
    <x v="0"/>
    <x v="3"/>
    <x v="3"/>
  </r>
  <r>
    <x v="1162"/>
    <s v="Future treat bill choice."/>
    <s v="Rent"/>
    <n v="751.52"/>
    <x v="0"/>
    <x v="3"/>
    <x v="3"/>
  </r>
  <r>
    <x v="1163"/>
    <s v="Somebody next ready."/>
    <s v="Rent"/>
    <n v="807.55"/>
    <x v="0"/>
    <x v="3"/>
    <x v="3"/>
  </r>
  <r>
    <x v="1164"/>
    <s v="Republican reduce sort individual trouble."/>
    <s v="Travel"/>
    <n v="1673.06"/>
    <x v="0"/>
    <x v="3"/>
    <x v="3"/>
  </r>
  <r>
    <x v="1165"/>
    <s v="Type look find."/>
    <s v="Salary"/>
    <n v="1601.8"/>
    <x v="0"/>
    <x v="3"/>
    <x v="3"/>
  </r>
  <r>
    <x v="1166"/>
    <s v="Stage threat our."/>
    <s v="Utilities"/>
    <n v="234.98"/>
    <x v="0"/>
    <x v="3"/>
    <x v="3"/>
  </r>
  <r>
    <x v="1167"/>
    <s v="Report agreement sport."/>
    <s v="Food &amp; Drink"/>
    <n v="1963.32"/>
    <x v="0"/>
    <x v="3"/>
    <x v="3"/>
  </r>
  <r>
    <x v="1168"/>
    <s v="Task central dinner."/>
    <s v="Rent"/>
    <n v="837.9"/>
    <x v="0"/>
    <x v="3"/>
    <x v="3"/>
  </r>
  <r>
    <x v="1169"/>
    <s v="Candidate bad real."/>
    <s v="Salary"/>
    <n v="370.71"/>
    <x v="0"/>
    <x v="3"/>
    <x v="3"/>
  </r>
  <r>
    <x v="1170"/>
    <s v="Affect machine."/>
    <s v="Health &amp; Fitness"/>
    <n v="1226.5999999999999"/>
    <x v="0"/>
    <x v="3"/>
    <x v="3"/>
  </r>
  <r>
    <x v="1171"/>
    <s v="Cultural allow."/>
    <s v="Utilities"/>
    <n v="971.33"/>
    <x v="0"/>
    <x v="3"/>
    <x v="3"/>
  </r>
  <r>
    <x v="1172"/>
    <s v="Arrive budget education at property."/>
    <s v="Shopping"/>
    <n v="886.97"/>
    <x v="0"/>
    <x v="3"/>
    <x v="3"/>
  </r>
  <r>
    <x v="1173"/>
    <s v="Turn day top."/>
    <s v="Other"/>
    <n v="601"/>
    <x v="1"/>
    <x v="3"/>
    <x v="3"/>
  </r>
  <r>
    <x v="1174"/>
    <s v="Ahead certainly second everyone."/>
    <s v="Entertainment"/>
    <n v="1956.01"/>
    <x v="0"/>
    <x v="3"/>
    <x v="3"/>
  </r>
  <r>
    <x v="1175"/>
    <s v="Goal talk sit party."/>
    <s v="Health &amp; Fitness"/>
    <n v="1043.01"/>
    <x v="0"/>
    <x v="3"/>
    <x v="3"/>
  </r>
  <r>
    <x v="1176"/>
    <s v="Attention standard shake more respond."/>
    <s v="Rent"/>
    <n v="871.37"/>
    <x v="0"/>
    <x v="3"/>
    <x v="3"/>
  </r>
  <r>
    <x v="1177"/>
    <s v="Top mr wind."/>
    <s v="Salary"/>
    <n v="698.04"/>
    <x v="0"/>
    <x v="3"/>
    <x v="3"/>
  </r>
  <r>
    <x v="1178"/>
    <s v="Turn surface listen."/>
    <s v="Shopping"/>
    <n v="305.82"/>
    <x v="0"/>
    <x v="3"/>
    <x v="3"/>
  </r>
  <r>
    <x v="1179"/>
    <s v="Pull blue strong wonder."/>
    <s v="Food &amp; Drink"/>
    <n v="33.17"/>
    <x v="0"/>
    <x v="3"/>
    <x v="3"/>
  </r>
  <r>
    <x v="1180"/>
    <s v="Method imagine seven."/>
    <s v="Salary"/>
    <n v="1705.22"/>
    <x v="0"/>
    <x v="3"/>
    <x v="3"/>
  </r>
  <r>
    <x v="1181"/>
    <s v="Letter mind many."/>
    <s v="Rent"/>
    <n v="1505.35"/>
    <x v="0"/>
    <x v="3"/>
    <x v="3"/>
  </r>
  <r>
    <x v="1182"/>
    <s v="News american foreign."/>
    <s v="Health &amp; Fitness"/>
    <n v="1940.59"/>
    <x v="0"/>
    <x v="3"/>
    <x v="3"/>
  </r>
  <r>
    <x v="1183"/>
    <s v="Exist outside find wish."/>
    <s v="Investment"/>
    <n v="3601"/>
    <x v="1"/>
    <x v="3"/>
    <x v="3"/>
  </r>
  <r>
    <x v="1184"/>
    <s v="Network fact talk."/>
    <s v="Entertainment"/>
    <n v="166.87"/>
    <x v="0"/>
    <x v="3"/>
    <x v="3"/>
  </r>
  <r>
    <x v="1185"/>
    <s v="Thus sort."/>
    <s v="Salary"/>
    <n v="185.16"/>
    <x v="0"/>
    <x v="3"/>
    <x v="3"/>
  </r>
  <r>
    <x v="1186"/>
    <s v="Actually purpose public."/>
    <s v="Health &amp; Fitness"/>
    <n v="246.23"/>
    <x v="0"/>
    <x v="3"/>
    <x v="3"/>
  </r>
  <r>
    <x v="1187"/>
    <s v="Mission put budget house."/>
    <s v="Food &amp; Drink"/>
    <n v="214.26"/>
    <x v="0"/>
    <x v="3"/>
    <x v="3"/>
  </r>
  <r>
    <x v="1188"/>
    <s v="Ask window full."/>
    <s v="Food &amp; Drink"/>
    <n v="1653.56"/>
    <x v="0"/>
    <x v="3"/>
    <x v="3"/>
  </r>
  <r>
    <x v="1189"/>
    <s v="Do interesting material."/>
    <s v="Travel"/>
    <n v="1781.32"/>
    <x v="0"/>
    <x v="3"/>
    <x v="3"/>
  </r>
  <r>
    <x v="1190"/>
    <s v="Event smile popular hundred live."/>
    <s v="Salary"/>
    <n v="1901.21"/>
    <x v="0"/>
    <x v="3"/>
    <x v="3"/>
  </r>
  <r>
    <x v="1191"/>
    <s v="Memory challenge lawyer business."/>
    <s v="Food &amp; Drink"/>
    <n v="1635.01"/>
    <x v="0"/>
    <x v="3"/>
    <x v="3"/>
  </r>
  <r>
    <x v="1192"/>
    <s v="Discuss wall ahead scene."/>
    <s v="Health &amp; Fitness"/>
    <n v="1124.7"/>
    <x v="0"/>
    <x v="3"/>
    <x v="3"/>
  </r>
  <r>
    <x v="1193"/>
    <s v="Question will him quickly."/>
    <s v="Salary"/>
    <n v="1436.15"/>
    <x v="0"/>
    <x v="3"/>
    <x v="3"/>
  </r>
  <r>
    <x v="1194"/>
    <s v="Perform benefit baby."/>
    <s v="Salary"/>
    <n v="236.91"/>
    <x v="0"/>
    <x v="3"/>
    <x v="3"/>
  </r>
  <r>
    <x v="1195"/>
    <s v="Society dark product make."/>
    <s v="Entertainment"/>
    <n v="14.37"/>
    <x v="0"/>
    <x v="3"/>
    <x v="3"/>
  </r>
  <r>
    <x v="1196"/>
    <s v="Gas teacher national weight all."/>
    <s v="Travel"/>
    <n v="1099.9000000000001"/>
    <x v="0"/>
    <x v="3"/>
    <x v="3"/>
  </r>
  <r>
    <x v="1197"/>
    <s v="Himself fire heavy."/>
    <s v="Rent"/>
    <n v="101.1"/>
    <x v="0"/>
    <x v="3"/>
    <x v="3"/>
  </r>
  <r>
    <x v="1198"/>
    <s v="Allow news."/>
    <s v="Investment"/>
    <n v="3852"/>
    <x v="1"/>
    <x v="3"/>
    <x v="3"/>
  </r>
  <r>
    <x v="1199"/>
    <s v="Man care resource."/>
    <s v="Investment"/>
    <n v="2036"/>
    <x v="1"/>
    <x v="3"/>
    <x v="3"/>
  </r>
  <r>
    <x v="1200"/>
    <s v="Notice make."/>
    <s v="Other"/>
    <n v="2266"/>
    <x v="1"/>
    <x v="3"/>
    <x v="3"/>
  </r>
  <r>
    <x v="1201"/>
    <s v="Occur live take media hot."/>
    <s v="Entertainment"/>
    <n v="1436.41"/>
    <x v="0"/>
    <x v="3"/>
    <x v="3"/>
  </r>
  <r>
    <x v="1202"/>
    <s v="Wife pay good within fly."/>
    <s v="Other"/>
    <n v="880"/>
    <x v="1"/>
    <x v="3"/>
    <x v="3"/>
  </r>
  <r>
    <x v="1203"/>
    <s v="And student give score agree."/>
    <s v="Rent"/>
    <n v="1546.57"/>
    <x v="0"/>
    <x v="3"/>
    <x v="3"/>
  </r>
  <r>
    <x v="1204"/>
    <s v="Best generation group goal."/>
    <s v="Utilities"/>
    <n v="1928.07"/>
    <x v="0"/>
    <x v="3"/>
    <x v="3"/>
  </r>
  <r>
    <x v="1205"/>
    <s v="Doctor fine be."/>
    <s v="Investment"/>
    <n v="4045"/>
    <x v="1"/>
    <x v="3"/>
    <x v="3"/>
  </r>
  <r>
    <x v="1206"/>
    <s v="Boy college mrs."/>
    <s v="Salary"/>
    <n v="1849.5"/>
    <x v="0"/>
    <x v="3"/>
    <x v="3"/>
  </r>
  <r>
    <x v="1207"/>
    <s v="Price institution method inside."/>
    <s v="Utilities"/>
    <n v="1386.72"/>
    <x v="0"/>
    <x v="3"/>
    <x v="3"/>
  </r>
  <r>
    <x v="1208"/>
    <s v="Onto worry help hope."/>
    <s v="Investment"/>
    <n v="1348"/>
    <x v="1"/>
    <x v="3"/>
    <x v="3"/>
  </r>
  <r>
    <x v="1209"/>
    <s v="Space beyond."/>
    <s v="Health &amp; Fitness"/>
    <n v="1013.18"/>
    <x v="0"/>
    <x v="3"/>
    <x v="3"/>
  </r>
  <r>
    <x v="1210"/>
    <s v="Market specific property coach."/>
    <s v="Entertainment"/>
    <n v="554.46"/>
    <x v="0"/>
    <x v="3"/>
    <x v="3"/>
  </r>
  <r>
    <x v="1211"/>
    <s v="Wide cut player wind."/>
    <s v="Travel"/>
    <n v="911.16"/>
    <x v="0"/>
    <x v="3"/>
    <x v="3"/>
  </r>
  <r>
    <x v="1212"/>
    <s v="Degree enter father of source."/>
    <s v="Other"/>
    <n v="4696"/>
    <x v="1"/>
    <x v="3"/>
    <x v="3"/>
  </r>
  <r>
    <x v="1213"/>
    <s v="Behind front attack song little."/>
    <s v="Health &amp; Fitness"/>
    <n v="1426.63"/>
    <x v="0"/>
    <x v="3"/>
    <x v="3"/>
  </r>
  <r>
    <x v="1214"/>
    <s v="Somebody prepare few sound."/>
    <s v="Entertainment"/>
    <n v="409.77"/>
    <x v="0"/>
    <x v="3"/>
    <x v="3"/>
  </r>
  <r>
    <x v="1215"/>
    <s v="Finish increase economy middle public."/>
    <s v="Travel"/>
    <n v="1376.36"/>
    <x v="0"/>
    <x v="3"/>
    <x v="3"/>
  </r>
  <r>
    <x v="1216"/>
    <s v="Thing physical might."/>
    <s v="Utilities"/>
    <n v="1962.86"/>
    <x v="0"/>
    <x v="3"/>
    <x v="3"/>
  </r>
  <r>
    <x v="1217"/>
    <s v="Material produce station visit environmental."/>
    <s v="Utilities"/>
    <n v="1012.75"/>
    <x v="0"/>
    <x v="3"/>
    <x v="3"/>
  </r>
  <r>
    <x v="1218"/>
    <s v="Table trade various risk art."/>
    <s v="Health &amp; Fitness"/>
    <n v="1423.6"/>
    <x v="0"/>
    <x v="3"/>
    <x v="3"/>
  </r>
  <r>
    <x v="1219"/>
    <s v="Leg drive second she."/>
    <s v="Salary"/>
    <n v="1169.78"/>
    <x v="0"/>
    <x v="3"/>
    <x v="3"/>
  </r>
  <r>
    <x v="1220"/>
    <s v="Five store ask data."/>
    <s v="Shopping"/>
    <n v="1351.74"/>
    <x v="0"/>
    <x v="3"/>
    <x v="3"/>
  </r>
  <r>
    <x v="1221"/>
    <s v="Statement position either."/>
    <s v="Travel"/>
    <n v="1756.18"/>
    <x v="0"/>
    <x v="3"/>
    <x v="3"/>
  </r>
  <r>
    <x v="1222"/>
    <s v="Draw change agree someone."/>
    <s v="Food &amp; Drink"/>
    <n v="1050.23"/>
    <x v="0"/>
    <x v="3"/>
    <x v="3"/>
  </r>
  <r>
    <x v="1223"/>
    <s v="Magazine yard instead town."/>
    <s v="Investment"/>
    <n v="934"/>
    <x v="1"/>
    <x v="3"/>
    <x v="3"/>
  </r>
  <r>
    <x v="1224"/>
    <s v="Evening ahead smile."/>
    <s v="Entertainment"/>
    <n v="541.29"/>
    <x v="0"/>
    <x v="3"/>
    <x v="3"/>
  </r>
  <r>
    <x v="1225"/>
    <s v="Compare system white magazine after."/>
    <s v="Travel"/>
    <n v="1369.95"/>
    <x v="0"/>
    <x v="3"/>
    <x v="3"/>
  </r>
  <r>
    <x v="1226"/>
    <s v="Own test too imagine."/>
    <s v="Investment"/>
    <n v="2917"/>
    <x v="1"/>
    <x v="3"/>
    <x v="3"/>
  </r>
  <r>
    <x v="1227"/>
    <s v="However style."/>
    <s v="Food &amp; Drink"/>
    <n v="723.78"/>
    <x v="0"/>
    <x v="3"/>
    <x v="3"/>
  </r>
  <r>
    <x v="1228"/>
    <s v="Born same usually."/>
    <s v="Entertainment"/>
    <n v="1487.4"/>
    <x v="0"/>
    <x v="3"/>
    <x v="3"/>
  </r>
  <r>
    <x v="1229"/>
    <s v="Wear use edge this draw."/>
    <s v="Entertainment"/>
    <n v="1026.74"/>
    <x v="0"/>
    <x v="3"/>
    <x v="3"/>
  </r>
  <r>
    <x v="1230"/>
    <s v="Forget once hope security."/>
    <s v="Travel"/>
    <n v="1388.94"/>
    <x v="0"/>
    <x v="3"/>
    <x v="3"/>
  </r>
  <r>
    <x v="1231"/>
    <s v="Design blood degree ever."/>
    <s v="Other"/>
    <n v="3674"/>
    <x v="1"/>
    <x v="3"/>
    <x v="3"/>
  </r>
  <r>
    <x v="1232"/>
    <s v="Television argue mouth."/>
    <s v="Health &amp; Fitness"/>
    <n v="1932.01"/>
    <x v="0"/>
    <x v="3"/>
    <x v="3"/>
  </r>
  <r>
    <x v="1233"/>
    <s v="Nation little east everyone."/>
    <s v="Other"/>
    <n v="2163"/>
    <x v="1"/>
    <x v="3"/>
    <x v="3"/>
  </r>
  <r>
    <x v="1234"/>
    <s v="Little happy final population."/>
    <s v="Salary"/>
    <n v="1661.67"/>
    <x v="0"/>
    <x v="3"/>
    <x v="3"/>
  </r>
  <r>
    <x v="1235"/>
    <s v="Real small."/>
    <s v="Health &amp; Fitness"/>
    <n v="1512.66"/>
    <x v="0"/>
    <x v="3"/>
    <x v="3"/>
  </r>
  <r>
    <x v="1236"/>
    <s v="Need finally when."/>
    <s v="Entertainment"/>
    <n v="1554.53"/>
    <x v="0"/>
    <x v="3"/>
    <x v="3"/>
  </r>
  <r>
    <x v="1237"/>
    <s v="Movement door kind."/>
    <s v="Travel"/>
    <n v="903.14"/>
    <x v="0"/>
    <x v="3"/>
    <x v="3"/>
  </r>
  <r>
    <x v="1238"/>
    <s v="Until truth feeling view."/>
    <s v="Rent"/>
    <n v="382.08"/>
    <x v="0"/>
    <x v="3"/>
    <x v="3"/>
  </r>
  <r>
    <x v="1239"/>
    <s v="Decision three trouble."/>
    <s v="Investment"/>
    <n v="3590"/>
    <x v="1"/>
    <x v="3"/>
    <x v="3"/>
  </r>
  <r>
    <x v="1240"/>
    <s v="Smile ever bag single."/>
    <s v="Other"/>
    <n v="2664"/>
    <x v="1"/>
    <x v="3"/>
    <x v="3"/>
  </r>
  <r>
    <x v="1241"/>
    <s v="Say unit four institution."/>
    <s v="Other"/>
    <n v="546"/>
    <x v="1"/>
    <x v="3"/>
    <x v="3"/>
  </r>
  <r>
    <x v="1242"/>
    <s v="Recognize media goal."/>
    <s v="Utilities"/>
    <n v="89.48"/>
    <x v="0"/>
    <x v="3"/>
    <x v="3"/>
  </r>
  <r>
    <x v="1243"/>
    <s v="Law agree appear political."/>
    <s v="Food &amp; Drink"/>
    <n v="1549.59"/>
    <x v="0"/>
    <x v="3"/>
    <x v="3"/>
  </r>
  <r>
    <x v="1244"/>
    <s v="Able customer figure."/>
    <s v="Travel"/>
    <n v="986.2"/>
    <x v="0"/>
    <x v="3"/>
    <x v="3"/>
  </r>
  <r>
    <x v="1245"/>
    <s v="Book economic."/>
    <s v="Health &amp; Fitness"/>
    <n v="155.03"/>
    <x v="0"/>
    <x v="3"/>
    <x v="3"/>
  </r>
  <r>
    <x v="1246"/>
    <s v="Rate society floor long same."/>
    <s v="Entertainment"/>
    <n v="1914.41"/>
    <x v="0"/>
    <x v="3"/>
    <x v="3"/>
  </r>
  <r>
    <x v="1247"/>
    <s v="Reach step son."/>
    <s v="Utilities"/>
    <n v="837.7"/>
    <x v="0"/>
    <x v="3"/>
    <x v="3"/>
  </r>
  <r>
    <x v="1248"/>
    <s v="Increase consider."/>
    <s v="Rent"/>
    <n v="705.31"/>
    <x v="0"/>
    <x v="3"/>
    <x v="3"/>
  </r>
  <r>
    <x v="1249"/>
    <s v="Difference way type positive phone."/>
    <s v="Health &amp; Fitness"/>
    <n v="668.82"/>
    <x v="0"/>
    <x v="3"/>
    <x v="3"/>
  </r>
  <r>
    <x v="1250"/>
    <s v="Cup red collection husband."/>
    <s v="Salary"/>
    <n v="1993.3"/>
    <x v="0"/>
    <x v="3"/>
    <x v="3"/>
  </r>
  <r>
    <x v="1251"/>
    <s v="Employee become happy water bring."/>
    <s v="Food &amp; Drink"/>
    <n v="238.3"/>
    <x v="0"/>
    <x v="3"/>
    <x v="3"/>
  </r>
  <r>
    <x v="1252"/>
    <s v="Significant up still management."/>
    <s v="Entertainment"/>
    <n v="1809.95"/>
    <x v="0"/>
    <x v="3"/>
    <x v="3"/>
  </r>
  <r>
    <x v="1253"/>
    <s v="Course technology site."/>
    <s v="Entertainment"/>
    <n v="1918.2"/>
    <x v="0"/>
    <x v="3"/>
    <x v="3"/>
  </r>
  <r>
    <x v="1254"/>
    <s v="High issue deal democratic."/>
    <s v="Health &amp; Fitness"/>
    <n v="768.93"/>
    <x v="0"/>
    <x v="3"/>
    <x v="3"/>
  </r>
  <r>
    <x v="1255"/>
    <s v="Industry impact certainly."/>
    <s v="Rent"/>
    <n v="777.89"/>
    <x v="0"/>
    <x v="3"/>
    <x v="3"/>
  </r>
  <r>
    <x v="1256"/>
    <s v="Dog late eat."/>
    <s v="Travel"/>
    <n v="59.16"/>
    <x v="0"/>
    <x v="3"/>
    <x v="3"/>
  </r>
  <r>
    <x v="1257"/>
    <s v="Beat light the window."/>
    <s v="Health &amp; Fitness"/>
    <n v="1033.48"/>
    <x v="0"/>
    <x v="3"/>
    <x v="3"/>
  </r>
  <r>
    <x v="1258"/>
    <s v="Require remain save."/>
    <s v="Salary"/>
    <n v="97.26"/>
    <x v="0"/>
    <x v="3"/>
    <x v="3"/>
  </r>
  <r>
    <x v="1259"/>
    <s v="Believe arrive."/>
    <s v="Entertainment"/>
    <n v="647.41999999999996"/>
    <x v="0"/>
    <x v="3"/>
    <x v="3"/>
  </r>
  <r>
    <x v="1260"/>
    <s v="Likely great paper."/>
    <s v="Investment"/>
    <n v="1871"/>
    <x v="1"/>
    <x v="3"/>
    <x v="3"/>
  </r>
  <r>
    <x v="1261"/>
    <s v="Effect people."/>
    <s v="Food &amp; Drink"/>
    <n v="1257.5999999999999"/>
    <x v="0"/>
    <x v="3"/>
    <x v="3"/>
  </r>
  <r>
    <x v="1262"/>
    <s v="Provide car throughout american."/>
    <s v="Entertainment"/>
    <n v="1731.25"/>
    <x v="0"/>
    <x v="3"/>
    <x v="3"/>
  </r>
  <r>
    <x v="1263"/>
    <s v="College manage fund."/>
    <s v="Rent"/>
    <n v="419.1"/>
    <x v="0"/>
    <x v="3"/>
    <x v="3"/>
  </r>
  <r>
    <x v="1264"/>
    <s v="Bed report item."/>
    <s v="Shopping"/>
    <n v="1296.6600000000001"/>
    <x v="0"/>
    <x v="3"/>
    <x v="3"/>
  </r>
  <r>
    <x v="1265"/>
    <s v="Finish without."/>
    <s v="Utilities"/>
    <n v="57.27"/>
    <x v="0"/>
    <x v="3"/>
    <x v="3"/>
  </r>
  <r>
    <x v="1266"/>
    <s v="Security unit executive."/>
    <s v="Food &amp; Drink"/>
    <n v="184.17"/>
    <x v="0"/>
    <x v="3"/>
    <x v="3"/>
  </r>
  <r>
    <x v="1267"/>
    <s v="Stop unit might job close."/>
    <s v="Other"/>
    <n v="1077"/>
    <x v="1"/>
    <x v="3"/>
    <x v="3"/>
  </r>
  <r>
    <x v="1268"/>
    <s v="New type pm."/>
    <s v="Entertainment"/>
    <n v="1822.86"/>
    <x v="0"/>
    <x v="3"/>
    <x v="3"/>
  </r>
  <r>
    <x v="1269"/>
    <s v="Country approach."/>
    <s v="Salary"/>
    <n v="1264.1300000000001"/>
    <x v="0"/>
    <x v="3"/>
    <x v="3"/>
  </r>
  <r>
    <x v="1270"/>
    <s v="Like clear."/>
    <s v="Food &amp; Drink"/>
    <n v="785.11"/>
    <x v="0"/>
    <x v="3"/>
    <x v="3"/>
  </r>
  <r>
    <x v="1271"/>
    <s v="Break time manager kid."/>
    <s v="Investment"/>
    <n v="1018"/>
    <x v="1"/>
    <x v="3"/>
    <x v="3"/>
  </r>
  <r>
    <x v="1272"/>
    <s v="Leader both rest challenge."/>
    <s v="Food &amp; Drink"/>
    <n v="1404.76"/>
    <x v="0"/>
    <x v="3"/>
    <x v="3"/>
  </r>
  <r>
    <x v="1273"/>
    <s v="Data exist."/>
    <s v="Investment"/>
    <n v="2874"/>
    <x v="1"/>
    <x v="3"/>
    <x v="3"/>
  </r>
  <r>
    <x v="1274"/>
    <s v="State none production defense your."/>
    <s v="Travel"/>
    <n v="1217.07"/>
    <x v="0"/>
    <x v="3"/>
    <x v="3"/>
  </r>
  <r>
    <x v="1275"/>
    <s v="Short congress turn east marriage."/>
    <s v="Salary"/>
    <n v="769.01"/>
    <x v="0"/>
    <x v="3"/>
    <x v="3"/>
  </r>
  <r>
    <x v="1276"/>
    <s v="Ago race quite hour."/>
    <s v="Food &amp; Drink"/>
    <n v="953.24"/>
    <x v="0"/>
    <x v="3"/>
    <x v="3"/>
  </r>
  <r>
    <x v="1277"/>
    <s v="Child ball store process."/>
    <s v="Utilities"/>
    <n v="1496.04"/>
    <x v="0"/>
    <x v="3"/>
    <x v="3"/>
  </r>
  <r>
    <x v="1278"/>
    <s v="Western order accept wide prevent."/>
    <s v="Travel"/>
    <n v="1920.67"/>
    <x v="0"/>
    <x v="3"/>
    <x v="3"/>
  </r>
  <r>
    <x v="1279"/>
    <s v="Water yourself trade someone."/>
    <s v="Other"/>
    <n v="591"/>
    <x v="1"/>
    <x v="3"/>
    <x v="3"/>
  </r>
  <r>
    <x v="1280"/>
    <s v="Tell soon executive."/>
    <s v="Utilities"/>
    <n v="255.24"/>
    <x v="0"/>
    <x v="3"/>
    <x v="3"/>
  </r>
  <r>
    <x v="1281"/>
    <s v="Natural own."/>
    <s v="Other"/>
    <n v="4900"/>
    <x v="1"/>
    <x v="3"/>
    <x v="3"/>
  </r>
  <r>
    <x v="1282"/>
    <s v="Effort drive side human."/>
    <s v="Rent"/>
    <n v="616.34"/>
    <x v="0"/>
    <x v="3"/>
    <x v="3"/>
  </r>
  <r>
    <x v="1283"/>
    <s v="Clear single expect."/>
    <s v="Health &amp; Fitness"/>
    <n v="431.36"/>
    <x v="0"/>
    <x v="3"/>
    <x v="3"/>
  </r>
  <r>
    <x v="1284"/>
    <s v="Fear song save."/>
    <s v="Utilities"/>
    <n v="330.3"/>
    <x v="0"/>
    <x v="3"/>
    <x v="3"/>
  </r>
  <r>
    <x v="1285"/>
    <s v="Capital program story mention majority."/>
    <s v="Travel"/>
    <n v="396.71"/>
    <x v="0"/>
    <x v="3"/>
    <x v="3"/>
  </r>
  <r>
    <x v="1286"/>
    <s v="Environmental outside bed institution."/>
    <s v="Investment"/>
    <n v="4996"/>
    <x v="1"/>
    <x v="3"/>
    <x v="3"/>
  </r>
  <r>
    <x v="1287"/>
    <s v="Control piece behavior message wind."/>
    <s v="Rent"/>
    <n v="588.4"/>
    <x v="0"/>
    <x v="3"/>
    <x v="3"/>
  </r>
  <r>
    <x v="1288"/>
    <s v="Us money positive."/>
    <s v="Investment"/>
    <n v="2117"/>
    <x v="1"/>
    <x v="3"/>
    <x v="3"/>
  </r>
  <r>
    <x v="1289"/>
    <s v="Life bad soon."/>
    <s v="Salary"/>
    <n v="1903.56"/>
    <x v="0"/>
    <x v="3"/>
    <x v="3"/>
  </r>
  <r>
    <x v="1290"/>
    <s v="Worker range feel."/>
    <s v="Entertainment"/>
    <n v="209.09"/>
    <x v="0"/>
    <x v="3"/>
    <x v="3"/>
  </r>
  <r>
    <x v="1291"/>
    <s v="Into notice necessary true message."/>
    <s v="Entertainment"/>
    <n v="642.39"/>
    <x v="0"/>
    <x v="3"/>
    <x v="3"/>
  </r>
  <r>
    <x v="1292"/>
    <s v="Including let result spend."/>
    <s v="Travel"/>
    <n v="1389.98"/>
    <x v="0"/>
    <x v="3"/>
    <x v="3"/>
  </r>
  <r>
    <x v="1293"/>
    <s v="One shoulder administration."/>
    <s v="Other"/>
    <n v="3091"/>
    <x v="1"/>
    <x v="3"/>
    <x v="3"/>
  </r>
  <r>
    <x v="1294"/>
    <s v="Skill successful and."/>
    <s v="Utilities"/>
    <n v="19.62"/>
    <x v="0"/>
    <x v="3"/>
    <x v="3"/>
  </r>
  <r>
    <x v="1295"/>
    <s v="Finish right serious."/>
    <s v="Entertainment"/>
    <n v="1427.28"/>
    <x v="0"/>
    <x v="3"/>
    <x v="3"/>
  </r>
  <r>
    <x v="1296"/>
    <s v="Space game truth special decision."/>
    <s v="Travel"/>
    <n v="1681.82"/>
    <x v="0"/>
    <x v="3"/>
    <x v="3"/>
  </r>
  <r>
    <x v="1297"/>
    <s v="Else pull its adult house."/>
    <s v="Other"/>
    <n v="4431"/>
    <x v="1"/>
    <x v="3"/>
    <x v="3"/>
  </r>
  <r>
    <x v="1298"/>
    <s v="Pretty least if."/>
    <s v="Health &amp; Fitness"/>
    <n v="1551.79"/>
    <x v="0"/>
    <x v="3"/>
    <x v="3"/>
  </r>
  <r>
    <x v="1299"/>
    <s v="Peace wind guess."/>
    <s v="Rent"/>
    <n v="359.78"/>
    <x v="0"/>
    <x v="3"/>
    <x v="3"/>
  </r>
  <r>
    <x v="1300"/>
    <s v="Because career course."/>
    <s v="Travel"/>
    <n v="1718.84"/>
    <x v="0"/>
    <x v="3"/>
    <x v="3"/>
  </r>
  <r>
    <x v="1301"/>
    <s v="Teacher decide possible."/>
    <s v="Investment"/>
    <n v="2656"/>
    <x v="1"/>
    <x v="3"/>
    <x v="3"/>
  </r>
  <r>
    <x v="1302"/>
    <s v="Success teach mrs beat."/>
    <s v="Rent"/>
    <n v="1457.58"/>
    <x v="0"/>
    <x v="3"/>
    <x v="3"/>
  </r>
  <r>
    <x v="1303"/>
    <s v="Listen against coach."/>
    <s v="Food &amp; Drink"/>
    <n v="1627.16"/>
    <x v="0"/>
    <x v="3"/>
    <x v="3"/>
  </r>
  <r>
    <x v="1304"/>
    <s v="White likely teacher one."/>
    <s v="Entertainment"/>
    <n v="1813.54"/>
    <x v="0"/>
    <x v="3"/>
    <x v="3"/>
  </r>
  <r>
    <x v="1305"/>
    <s v="Notice street anything."/>
    <s v="Salary"/>
    <n v="1311.28"/>
    <x v="0"/>
    <x v="3"/>
    <x v="3"/>
  </r>
  <r>
    <x v="1306"/>
    <s v="Piece require."/>
    <s v="Other"/>
    <n v="2329"/>
    <x v="1"/>
    <x v="3"/>
    <x v="3"/>
  </r>
  <r>
    <x v="1307"/>
    <s v="Say other never fact."/>
    <s v="Travel"/>
    <n v="276.42"/>
    <x v="0"/>
    <x v="3"/>
    <x v="3"/>
  </r>
  <r>
    <x v="1308"/>
    <s v="Main opportunity particularly question."/>
    <s v="Rent"/>
    <n v="799.6"/>
    <x v="0"/>
    <x v="3"/>
    <x v="3"/>
  </r>
  <r>
    <x v="1309"/>
    <s v="Research month instead."/>
    <s v="Entertainment"/>
    <n v="1697.48"/>
    <x v="0"/>
    <x v="3"/>
    <x v="3"/>
  </r>
  <r>
    <x v="1310"/>
    <s v="As throughout individual list manager."/>
    <s v="Utilities"/>
    <n v="1516.84"/>
    <x v="0"/>
    <x v="3"/>
    <x v="3"/>
  </r>
  <r>
    <x v="1311"/>
    <s v="Recently again explain court."/>
    <s v="Investment"/>
    <n v="1967"/>
    <x v="1"/>
    <x v="3"/>
    <x v="3"/>
  </r>
  <r>
    <x v="1312"/>
    <s v="Discussion detail training fund."/>
    <s v="Utilities"/>
    <n v="1474.48"/>
    <x v="0"/>
    <x v="3"/>
    <x v="3"/>
  </r>
  <r>
    <x v="1313"/>
    <s v="Third rich hospital."/>
    <s v="Health &amp; Fitness"/>
    <n v="90.44"/>
    <x v="0"/>
    <x v="3"/>
    <x v="3"/>
  </r>
  <r>
    <x v="1314"/>
    <s v="Somebody son suddenly perform."/>
    <s v="Entertainment"/>
    <n v="135.09"/>
    <x v="0"/>
    <x v="3"/>
    <x v="3"/>
  </r>
  <r>
    <x v="1315"/>
    <s v="Project can."/>
    <s v="Food &amp; Drink"/>
    <n v="1340.49"/>
    <x v="0"/>
    <x v="3"/>
    <x v="3"/>
  </r>
  <r>
    <x v="1316"/>
    <s v="Paper beyond indeed."/>
    <s v="Health &amp; Fitness"/>
    <n v="782.31"/>
    <x v="0"/>
    <x v="3"/>
    <x v="3"/>
  </r>
  <r>
    <x v="1317"/>
    <s v="Doctor news yourself."/>
    <s v="Food &amp; Drink"/>
    <n v="89.41"/>
    <x v="0"/>
    <x v="3"/>
    <x v="3"/>
  </r>
  <r>
    <x v="1318"/>
    <s v="Ground city still."/>
    <s v="Rent"/>
    <n v="1410.44"/>
    <x v="0"/>
    <x v="3"/>
    <x v="3"/>
  </r>
  <r>
    <x v="1319"/>
    <s v="Southern front."/>
    <s v="Travel"/>
    <n v="1671.4"/>
    <x v="0"/>
    <x v="3"/>
    <x v="3"/>
  </r>
  <r>
    <x v="1320"/>
    <s v="Dinner no main year size."/>
    <s v="Utilities"/>
    <n v="759.55"/>
    <x v="0"/>
    <x v="3"/>
    <x v="3"/>
  </r>
  <r>
    <x v="1321"/>
    <s v="Environment character real middle prove."/>
    <s v="Rent"/>
    <n v="1038.1600000000001"/>
    <x v="0"/>
    <x v="3"/>
    <x v="3"/>
  </r>
  <r>
    <x v="1322"/>
    <s v="Sometimes while sense window."/>
    <s v="Entertainment"/>
    <n v="1037.58"/>
    <x v="0"/>
    <x v="3"/>
    <x v="3"/>
  </r>
  <r>
    <x v="1323"/>
    <s v="Among black picture that treat."/>
    <s v="Health &amp; Fitness"/>
    <n v="978.85"/>
    <x v="0"/>
    <x v="3"/>
    <x v="3"/>
  </r>
  <r>
    <x v="1324"/>
    <s v="Remain seven marriage."/>
    <s v="Food &amp; Drink"/>
    <n v="1008.66"/>
    <x v="0"/>
    <x v="3"/>
    <x v="3"/>
  </r>
  <r>
    <x v="1325"/>
    <s v="Positive free case."/>
    <s v="Investment"/>
    <n v="2384"/>
    <x v="1"/>
    <x v="3"/>
    <x v="3"/>
  </r>
  <r>
    <x v="1326"/>
    <s v="Wide shoulder according strong."/>
    <s v="Other"/>
    <n v="2232"/>
    <x v="1"/>
    <x v="3"/>
    <x v="3"/>
  </r>
  <r>
    <x v="1327"/>
    <s v="Expert commercial entire resource."/>
    <s v="Investment"/>
    <n v="3467"/>
    <x v="1"/>
    <x v="3"/>
    <x v="3"/>
  </r>
  <r>
    <x v="1328"/>
    <s v="Picture early send morning."/>
    <s v="Rent"/>
    <n v="1325.61"/>
    <x v="0"/>
    <x v="3"/>
    <x v="3"/>
  </r>
  <r>
    <x v="1329"/>
    <s v="Soon including important."/>
    <s v="Health &amp; Fitness"/>
    <n v="1443.31"/>
    <x v="0"/>
    <x v="3"/>
    <x v="3"/>
  </r>
  <r>
    <x v="1330"/>
    <s v="Some gun ahead certainly act."/>
    <s v="Salary"/>
    <n v="963.25"/>
    <x v="0"/>
    <x v="3"/>
    <x v="3"/>
  </r>
  <r>
    <x v="1331"/>
    <s v="Be fire."/>
    <s v="Shopping"/>
    <n v="54.67"/>
    <x v="0"/>
    <x v="3"/>
    <x v="3"/>
  </r>
  <r>
    <x v="1332"/>
    <s v="Article service produce political."/>
    <s v="Investment"/>
    <n v="1603"/>
    <x v="1"/>
    <x v="3"/>
    <x v="3"/>
  </r>
  <r>
    <x v="1333"/>
    <s v="Within woman."/>
    <s v="Food &amp; Drink"/>
    <n v="1782.69"/>
    <x v="0"/>
    <x v="3"/>
    <x v="3"/>
  </r>
  <r>
    <x v="1334"/>
    <s v="Information though red."/>
    <s v="Investment"/>
    <n v="2615"/>
    <x v="1"/>
    <x v="3"/>
    <x v="3"/>
  </r>
  <r>
    <x v="1335"/>
    <s v="Training account evidence month."/>
    <s v="Shopping"/>
    <n v="1202.72"/>
    <x v="0"/>
    <x v="3"/>
    <x v="3"/>
  </r>
  <r>
    <x v="1336"/>
    <s v="Land day name small."/>
    <s v="Food &amp; Drink"/>
    <n v="1758.23"/>
    <x v="0"/>
    <x v="3"/>
    <x v="3"/>
  </r>
  <r>
    <x v="1337"/>
    <s v="Thought sit identify culture."/>
    <s v="Travel"/>
    <n v="1895.04"/>
    <x v="0"/>
    <x v="3"/>
    <x v="3"/>
  </r>
  <r>
    <x v="1338"/>
    <s v="Already free."/>
    <s v="Salary"/>
    <n v="1735.93"/>
    <x v="0"/>
    <x v="3"/>
    <x v="3"/>
  </r>
  <r>
    <x v="1339"/>
    <s v="Yeah exist behavior necessary miss."/>
    <s v="Other"/>
    <n v="1669"/>
    <x v="1"/>
    <x v="3"/>
    <x v="3"/>
  </r>
  <r>
    <x v="1340"/>
    <s v="Agreement someone."/>
    <s v="Utilities"/>
    <n v="1250.19"/>
    <x v="0"/>
    <x v="3"/>
    <x v="3"/>
  </r>
  <r>
    <x v="1341"/>
    <s v="Strategy fight institution."/>
    <s v="Utilities"/>
    <n v="1451.13"/>
    <x v="0"/>
    <x v="3"/>
    <x v="3"/>
  </r>
  <r>
    <x v="1342"/>
    <s v="Rule success."/>
    <s v="Salary"/>
    <n v="1197.0999999999999"/>
    <x v="0"/>
    <x v="3"/>
    <x v="3"/>
  </r>
  <r>
    <x v="1343"/>
    <s v="Medical buy series walk large."/>
    <s v="Other"/>
    <n v="3657"/>
    <x v="1"/>
    <x v="3"/>
    <x v="3"/>
  </r>
  <r>
    <x v="1344"/>
    <s v="Law work."/>
    <s v="Investment"/>
    <n v="2157"/>
    <x v="1"/>
    <x v="3"/>
    <x v="3"/>
  </r>
  <r>
    <x v="1345"/>
    <s v="Research visit program suddenly doctor."/>
    <s v="Shopping"/>
    <n v="1654.76"/>
    <x v="0"/>
    <x v="3"/>
    <x v="3"/>
  </r>
  <r>
    <x v="1346"/>
    <s v="Project spring of."/>
    <s v="Utilities"/>
    <n v="956.98"/>
    <x v="0"/>
    <x v="3"/>
    <x v="3"/>
  </r>
  <r>
    <x v="1347"/>
    <s v="Mind easy foreign old."/>
    <s v="Food &amp; Drink"/>
    <n v="1756.73"/>
    <x v="0"/>
    <x v="3"/>
    <x v="3"/>
  </r>
  <r>
    <x v="1348"/>
    <s v="Better republican stock bank."/>
    <s v="Rent"/>
    <n v="195.45"/>
    <x v="0"/>
    <x v="3"/>
    <x v="3"/>
  </r>
  <r>
    <x v="1349"/>
    <s v="Thousand live land hard."/>
    <s v="Food &amp; Drink"/>
    <n v="1794.97"/>
    <x v="0"/>
    <x v="3"/>
    <x v="3"/>
  </r>
  <r>
    <x v="1350"/>
    <s v="Open million house enough."/>
    <s v="Shopping"/>
    <n v="1048.8699999999999"/>
    <x v="0"/>
    <x v="3"/>
    <x v="3"/>
  </r>
  <r>
    <x v="1351"/>
    <s v="You ready way rule."/>
    <s v="Food &amp; Drink"/>
    <n v="1398.31"/>
    <x v="0"/>
    <x v="3"/>
    <x v="3"/>
  </r>
  <r>
    <x v="1352"/>
    <s v="Certain camera represent."/>
    <s v="Salary"/>
    <n v="1581.22"/>
    <x v="0"/>
    <x v="3"/>
    <x v="3"/>
  </r>
  <r>
    <x v="1353"/>
    <s v="Tell brother defense list second."/>
    <s v="Rent"/>
    <n v="856.72"/>
    <x v="0"/>
    <x v="3"/>
    <x v="3"/>
  </r>
  <r>
    <x v="1354"/>
    <s v="Tv budget system book."/>
    <s v="Entertainment"/>
    <n v="1821.07"/>
    <x v="0"/>
    <x v="3"/>
    <x v="3"/>
  </r>
  <r>
    <x v="1355"/>
    <s v="Face mission brother figure hear."/>
    <s v="Other"/>
    <n v="2611"/>
    <x v="1"/>
    <x v="3"/>
    <x v="3"/>
  </r>
  <r>
    <x v="1356"/>
    <s v="Agreement central six instead."/>
    <s v="Investment"/>
    <n v="4780"/>
    <x v="1"/>
    <x v="3"/>
    <x v="3"/>
  </r>
  <r>
    <x v="1357"/>
    <s v="Democratic standard major."/>
    <s v="Investment"/>
    <n v="3572"/>
    <x v="1"/>
    <x v="3"/>
    <x v="3"/>
  </r>
  <r>
    <x v="1358"/>
    <s v="Give that individual of not."/>
    <s v="Health &amp; Fitness"/>
    <n v="823.6"/>
    <x v="0"/>
    <x v="3"/>
    <x v="3"/>
  </r>
  <r>
    <x v="1359"/>
    <s v="Little result paper seven."/>
    <s v="Other"/>
    <n v="2577"/>
    <x v="1"/>
    <x v="3"/>
    <x v="3"/>
  </r>
  <r>
    <x v="1360"/>
    <s v="Seven project chance road."/>
    <s v="Shopping"/>
    <n v="1133.69"/>
    <x v="0"/>
    <x v="3"/>
    <x v="3"/>
  </r>
  <r>
    <x v="1361"/>
    <s v="Professor important do house must."/>
    <s v="Shopping"/>
    <n v="1512.39"/>
    <x v="0"/>
    <x v="3"/>
    <x v="3"/>
  </r>
  <r>
    <x v="1362"/>
    <s v="Position tend religious."/>
    <s v="Salary"/>
    <n v="365.65"/>
    <x v="0"/>
    <x v="3"/>
    <x v="3"/>
  </r>
  <r>
    <x v="1363"/>
    <s v="Someone religious night buy nice."/>
    <s v="Salary"/>
    <n v="515.02"/>
    <x v="0"/>
    <x v="3"/>
    <x v="3"/>
  </r>
  <r>
    <x v="1364"/>
    <s v="My serious whatever miss seek."/>
    <s v="Health &amp; Fitness"/>
    <n v="1550.65"/>
    <x v="0"/>
    <x v="3"/>
    <x v="3"/>
  </r>
  <r>
    <x v="1365"/>
    <s v="Build view."/>
    <s v="Utilities"/>
    <n v="1711.45"/>
    <x v="0"/>
    <x v="3"/>
    <x v="3"/>
  </r>
  <r>
    <x v="1366"/>
    <s v="Ever day."/>
    <s v="Entertainment"/>
    <n v="898.72"/>
    <x v="0"/>
    <x v="3"/>
    <x v="3"/>
  </r>
  <r>
    <x v="1367"/>
    <s v="Be move fly open."/>
    <s v="Utilities"/>
    <n v="209.55"/>
    <x v="0"/>
    <x v="3"/>
    <x v="3"/>
  </r>
  <r>
    <x v="1368"/>
    <s v="Future congress."/>
    <s v="Health &amp; Fitness"/>
    <n v="1603.7"/>
    <x v="0"/>
    <x v="3"/>
    <x v="3"/>
  </r>
  <r>
    <x v="1369"/>
    <s v="Fish either boy between collection."/>
    <s v="Food &amp; Drink"/>
    <n v="329.87"/>
    <x v="0"/>
    <x v="3"/>
    <x v="3"/>
  </r>
  <r>
    <x v="1370"/>
    <s v="Eight bed fill."/>
    <s v="Food &amp; Drink"/>
    <n v="1610.7"/>
    <x v="0"/>
    <x v="3"/>
    <x v="3"/>
  </r>
  <r>
    <x v="1371"/>
    <s v="Arrive which consider."/>
    <s v="Salary"/>
    <n v="1852.46"/>
    <x v="0"/>
    <x v="3"/>
    <x v="3"/>
  </r>
  <r>
    <x v="1372"/>
    <s v="Hope floor include."/>
    <s v="Rent"/>
    <n v="533.54999999999995"/>
    <x v="0"/>
    <x v="3"/>
    <x v="3"/>
  </r>
  <r>
    <x v="1373"/>
    <s v="Heart still building."/>
    <s v="Food &amp; Drink"/>
    <n v="1451.74"/>
    <x v="0"/>
    <x v="3"/>
    <x v="3"/>
  </r>
  <r>
    <x v="1374"/>
    <s v="Sell only manage."/>
    <s v="Shopping"/>
    <n v="1231.79"/>
    <x v="0"/>
    <x v="3"/>
    <x v="3"/>
  </r>
  <r>
    <x v="1375"/>
    <s v="We especially five network."/>
    <s v="Food &amp; Drink"/>
    <n v="1891.97"/>
    <x v="0"/>
    <x v="3"/>
    <x v="3"/>
  </r>
  <r>
    <x v="1376"/>
    <s v="Ahead plant trial affect."/>
    <s v="Salary"/>
    <n v="883.55"/>
    <x v="0"/>
    <x v="3"/>
    <x v="3"/>
  </r>
  <r>
    <x v="1377"/>
    <s v="Push east never size fight."/>
    <s v="Travel"/>
    <n v="397.55"/>
    <x v="0"/>
    <x v="3"/>
    <x v="3"/>
  </r>
  <r>
    <x v="1378"/>
    <s v="Base player data whose."/>
    <s v="Entertainment"/>
    <n v="1234.23"/>
    <x v="0"/>
    <x v="3"/>
    <x v="3"/>
  </r>
  <r>
    <x v="1379"/>
    <s v="World site mr interest treatment."/>
    <s v="Health &amp; Fitness"/>
    <n v="486.12"/>
    <x v="0"/>
    <x v="3"/>
    <x v="3"/>
  </r>
  <r>
    <x v="1380"/>
    <s v="A let."/>
    <s v="Investment"/>
    <n v="1211"/>
    <x v="1"/>
    <x v="3"/>
    <x v="3"/>
  </r>
  <r>
    <x v="1381"/>
    <s v="A value lot."/>
    <s v="Shopping"/>
    <n v="712.72"/>
    <x v="0"/>
    <x v="3"/>
    <x v="3"/>
  </r>
  <r>
    <x v="1382"/>
    <s v="Yourself successful defense subject."/>
    <s v="Entertainment"/>
    <n v="1040.31"/>
    <x v="0"/>
    <x v="3"/>
    <x v="3"/>
  </r>
  <r>
    <x v="1383"/>
    <s v="Claim move."/>
    <s v="Rent"/>
    <n v="1839.16"/>
    <x v="0"/>
    <x v="3"/>
    <x v="3"/>
  </r>
  <r>
    <x v="1384"/>
    <s v="Bed recognize store."/>
    <s v="Health &amp; Fitness"/>
    <n v="701.48"/>
    <x v="0"/>
    <x v="3"/>
    <x v="3"/>
  </r>
  <r>
    <x v="1385"/>
    <s v="There decision measure."/>
    <s v="Entertainment"/>
    <n v="1216.6600000000001"/>
    <x v="0"/>
    <x v="3"/>
    <x v="3"/>
  </r>
  <r>
    <x v="1386"/>
    <s v="Play woman remain event."/>
    <s v="Other"/>
    <n v="538"/>
    <x v="1"/>
    <x v="3"/>
    <x v="3"/>
  </r>
  <r>
    <x v="1387"/>
    <s v="Decision where foreign trial."/>
    <s v="Shopping"/>
    <n v="1017.41"/>
    <x v="0"/>
    <x v="3"/>
    <x v="3"/>
  </r>
  <r>
    <x v="1388"/>
    <s v="Participant above."/>
    <s v="Travel"/>
    <n v="686.53"/>
    <x v="0"/>
    <x v="3"/>
    <x v="3"/>
  </r>
  <r>
    <x v="1389"/>
    <s v="Including time reflect."/>
    <s v="Other"/>
    <n v="4906"/>
    <x v="1"/>
    <x v="3"/>
    <x v="3"/>
  </r>
  <r>
    <x v="1390"/>
    <s v="Ball theory prepare much throughout."/>
    <s v="Travel"/>
    <n v="1391.44"/>
    <x v="0"/>
    <x v="3"/>
    <x v="3"/>
  </r>
  <r>
    <x v="1391"/>
    <s v="Good spend still."/>
    <s v="Salary"/>
    <n v="1542.23"/>
    <x v="0"/>
    <x v="3"/>
    <x v="3"/>
  </r>
  <r>
    <x v="1392"/>
    <s v="Concern should recent across."/>
    <s v="Salary"/>
    <n v="1366.37"/>
    <x v="0"/>
    <x v="3"/>
    <x v="3"/>
  </r>
  <r>
    <x v="1393"/>
    <s v="View know develop after."/>
    <s v="Food &amp; Drink"/>
    <n v="969.12"/>
    <x v="0"/>
    <x v="3"/>
    <x v="3"/>
  </r>
  <r>
    <x v="1394"/>
    <s v="Course staff personal space."/>
    <s v="Shopping"/>
    <n v="1270.99"/>
    <x v="0"/>
    <x v="3"/>
    <x v="3"/>
  </r>
  <r>
    <x v="1395"/>
    <s v="Woman whose already."/>
    <s v="Entertainment"/>
    <n v="1602.32"/>
    <x v="0"/>
    <x v="3"/>
    <x v="3"/>
  </r>
  <r>
    <x v="1396"/>
    <s v="Decide cultural start how thank."/>
    <s v="Health &amp; Fitness"/>
    <n v="1037.8399999999999"/>
    <x v="0"/>
    <x v="3"/>
    <x v="3"/>
  </r>
  <r>
    <x v="1397"/>
    <s v="Management necessary process not."/>
    <s v="Other"/>
    <n v="2533"/>
    <x v="1"/>
    <x v="3"/>
    <x v="3"/>
  </r>
  <r>
    <x v="1398"/>
    <s v="Assume campaign assume."/>
    <s v="Shopping"/>
    <n v="1350.66"/>
    <x v="0"/>
    <x v="3"/>
    <x v="3"/>
  </r>
  <r>
    <x v="1399"/>
    <s v="Talk thing rock ever summer."/>
    <s v="Rent"/>
    <n v="1113.56"/>
    <x v="0"/>
    <x v="3"/>
    <x v="3"/>
  </r>
  <r>
    <x v="1400"/>
    <s v="Pass quite third ability interview."/>
    <s v="Other"/>
    <n v="3396"/>
    <x v="1"/>
    <x v="3"/>
    <x v="3"/>
  </r>
  <r>
    <x v="1401"/>
    <s v="Item yet ever quite."/>
    <s v="Travel"/>
    <n v="373.74"/>
    <x v="0"/>
    <x v="3"/>
    <x v="3"/>
  </r>
  <r>
    <x v="1402"/>
    <s v="Guess service this different."/>
    <s v="Entertainment"/>
    <n v="1003.01"/>
    <x v="0"/>
    <x v="3"/>
    <x v="3"/>
  </r>
  <r>
    <x v="1403"/>
    <s v="Mother first hot free."/>
    <s v="Investment"/>
    <n v="2674"/>
    <x v="1"/>
    <x v="3"/>
    <x v="3"/>
  </r>
  <r>
    <x v="1404"/>
    <s v="Wrong difficult."/>
    <s v="Entertainment"/>
    <n v="1671.53"/>
    <x v="0"/>
    <x v="3"/>
    <x v="3"/>
  </r>
  <r>
    <x v="1405"/>
    <s v="True culture."/>
    <s v="Health &amp; Fitness"/>
    <n v="320.43"/>
    <x v="0"/>
    <x v="3"/>
    <x v="3"/>
  </r>
  <r>
    <x v="1406"/>
    <s v="As personal agreement."/>
    <s v="Investment"/>
    <n v="4535"/>
    <x v="1"/>
    <x v="3"/>
    <x v="3"/>
  </r>
  <r>
    <x v="1407"/>
    <s v="Or phone."/>
    <s v="Food &amp; Drink"/>
    <n v="1697.54"/>
    <x v="0"/>
    <x v="3"/>
    <x v="3"/>
  </r>
  <r>
    <x v="1408"/>
    <s v="East list when."/>
    <s v="Health &amp; Fitness"/>
    <n v="989.76"/>
    <x v="0"/>
    <x v="3"/>
    <x v="3"/>
  </r>
  <r>
    <x v="1409"/>
    <s v="Mind door authority outside."/>
    <s v="Travel"/>
    <n v="986.7"/>
    <x v="0"/>
    <x v="3"/>
    <x v="3"/>
  </r>
  <r>
    <x v="1410"/>
    <s v="Personal often."/>
    <s v="Travel"/>
    <n v="801.78"/>
    <x v="0"/>
    <x v="3"/>
    <x v="3"/>
  </r>
  <r>
    <x v="1411"/>
    <s v="True help."/>
    <s v="Utilities"/>
    <n v="117.75"/>
    <x v="0"/>
    <x v="3"/>
    <x v="3"/>
  </r>
  <r>
    <x v="1412"/>
    <s v="Artist sort area."/>
    <s v="Salary"/>
    <n v="1879.91"/>
    <x v="0"/>
    <x v="3"/>
    <x v="3"/>
  </r>
  <r>
    <x v="1413"/>
    <s v="Big argue."/>
    <s v="Other"/>
    <n v="3725"/>
    <x v="1"/>
    <x v="3"/>
    <x v="3"/>
  </r>
  <r>
    <x v="1414"/>
    <s v="Sure i pay."/>
    <s v="Utilities"/>
    <n v="919.82"/>
    <x v="0"/>
    <x v="3"/>
    <x v="3"/>
  </r>
  <r>
    <x v="1415"/>
    <s v="Ten skin perhaps."/>
    <s v="Other"/>
    <n v="3085"/>
    <x v="1"/>
    <x v="3"/>
    <x v="3"/>
  </r>
  <r>
    <x v="1416"/>
    <s v="Less into per big."/>
    <s v="Food &amp; Drink"/>
    <n v="1351.47"/>
    <x v="0"/>
    <x v="3"/>
    <x v="3"/>
  </r>
  <r>
    <x v="1417"/>
    <s v="Military onto blue activity."/>
    <s v="Rent"/>
    <n v="657.62"/>
    <x v="0"/>
    <x v="3"/>
    <x v="3"/>
  </r>
  <r>
    <x v="1418"/>
    <s v="Smile cover of pm eight."/>
    <s v="Travel"/>
    <n v="382.43"/>
    <x v="0"/>
    <x v="3"/>
    <x v="3"/>
  </r>
  <r>
    <x v="1419"/>
    <s v="Right know during someone."/>
    <s v="Travel"/>
    <n v="947.98"/>
    <x v="0"/>
    <x v="3"/>
    <x v="3"/>
  </r>
  <r>
    <x v="1420"/>
    <s v="Find job where."/>
    <s v="Health &amp; Fitness"/>
    <n v="375.99"/>
    <x v="0"/>
    <x v="3"/>
    <x v="3"/>
  </r>
  <r>
    <x v="1421"/>
    <s v="On must certainly."/>
    <s v="Shopping"/>
    <n v="1404.42"/>
    <x v="0"/>
    <x v="3"/>
    <x v="3"/>
  </r>
  <r>
    <x v="1422"/>
    <s v="Owner fact wife."/>
    <s v="Shopping"/>
    <n v="566.46"/>
    <x v="0"/>
    <x v="3"/>
    <x v="3"/>
  </r>
  <r>
    <x v="1423"/>
    <s v="Price certain down standard nice."/>
    <s v="Investment"/>
    <n v="2372"/>
    <x v="1"/>
    <x v="3"/>
    <x v="3"/>
  </r>
  <r>
    <x v="1424"/>
    <s v="Gas with policy cut."/>
    <s v="Travel"/>
    <n v="1610.13"/>
    <x v="0"/>
    <x v="3"/>
    <x v="3"/>
  </r>
  <r>
    <x v="1425"/>
    <s v="Country little reality level."/>
    <s v="Shopping"/>
    <n v="400.17"/>
    <x v="0"/>
    <x v="3"/>
    <x v="3"/>
  </r>
  <r>
    <x v="1426"/>
    <s v="Not friend federal forget bit."/>
    <s v="Utilities"/>
    <n v="951.24"/>
    <x v="0"/>
    <x v="3"/>
    <x v="3"/>
  </r>
  <r>
    <x v="1427"/>
    <s v="Detail about development discover."/>
    <s v="Other"/>
    <n v="4592"/>
    <x v="1"/>
    <x v="3"/>
    <x v="3"/>
  </r>
  <r>
    <x v="1428"/>
    <s v="Lose shoulder spring."/>
    <s v="Other"/>
    <n v="4486"/>
    <x v="1"/>
    <x v="3"/>
    <x v="3"/>
  </r>
  <r>
    <x v="1429"/>
    <s v="Hundred step according."/>
    <s v="Food &amp; Drink"/>
    <n v="802.82"/>
    <x v="0"/>
    <x v="3"/>
    <x v="3"/>
  </r>
  <r>
    <x v="1430"/>
    <s v="Group never."/>
    <s v="Food &amp; Drink"/>
    <n v="438.78"/>
    <x v="0"/>
    <x v="3"/>
    <x v="3"/>
  </r>
  <r>
    <x v="1431"/>
    <s v="Key place tree."/>
    <s v="Rent"/>
    <n v="905.21"/>
    <x v="0"/>
    <x v="3"/>
    <x v="3"/>
  </r>
  <r>
    <x v="1432"/>
    <s v="Wish current."/>
    <s v="Health &amp; Fitness"/>
    <n v="727.01"/>
    <x v="0"/>
    <x v="3"/>
    <x v="3"/>
  </r>
  <r>
    <x v="1433"/>
    <s v="Despite energy company."/>
    <s v="Travel"/>
    <n v="694.84"/>
    <x v="0"/>
    <x v="3"/>
    <x v="3"/>
  </r>
  <r>
    <x v="1434"/>
    <s v="Condition again successful."/>
    <s v="Health &amp; Fitness"/>
    <n v="1736.06"/>
    <x v="0"/>
    <x v="3"/>
    <x v="3"/>
  </r>
  <r>
    <x v="1435"/>
    <s v="Story case."/>
    <s v="Entertainment"/>
    <n v="1157.94"/>
    <x v="0"/>
    <x v="3"/>
    <x v="3"/>
  </r>
  <r>
    <x v="1436"/>
    <s v="Very figure drive special."/>
    <s v="Utilities"/>
    <n v="1958.95"/>
    <x v="0"/>
    <x v="3"/>
    <x v="3"/>
  </r>
  <r>
    <x v="1437"/>
    <s v="With young think there assume."/>
    <s v="Health &amp; Fitness"/>
    <n v="1349.65"/>
    <x v="0"/>
    <x v="3"/>
    <x v="3"/>
  </r>
  <r>
    <x v="1438"/>
    <s v="Some court her."/>
    <s v="Salary"/>
    <n v="1780.37"/>
    <x v="0"/>
    <x v="3"/>
    <x v="3"/>
  </r>
  <r>
    <x v="1439"/>
    <s v="Outside with each animal."/>
    <s v="Travel"/>
    <n v="932.87"/>
    <x v="0"/>
    <x v="3"/>
    <x v="3"/>
  </r>
  <r>
    <x v="1440"/>
    <s v="Take family chance."/>
    <s v="Utilities"/>
    <n v="1284.76"/>
    <x v="0"/>
    <x v="3"/>
    <x v="3"/>
  </r>
  <r>
    <x v="1441"/>
    <s v="Picture evidence."/>
    <s v="Shopping"/>
    <n v="1266.23"/>
    <x v="0"/>
    <x v="3"/>
    <x v="3"/>
  </r>
  <r>
    <x v="1442"/>
    <s v="Why though decide bank likely."/>
    <s v="Rent"/>
    <n v="167.43"/>
    <x v="0"/>
    <x v="3"/>
    <x v="3"/>
  </r>
  <r>
    <x v="1443"/>
    <s v="Meet seem population."/>
    <s v="Health &amp; Fitness"/>
    <n v="640.59"/>
    <x v="0"/>
    <x v="3"/>
    <x v="3"/>
  </r>
  <r>
    <x v="1444"/>
    <s v="Material less focus hear."/>
    <s v="Travel"/>
    <n v="1214.72"/>
    <x v="0"/>
    <x v="3"/>
    <x v="3"/>
  </r>
  <r>
    <x v="1445"/>
    <s v="Listen ok point so."/>
    <s v="Salary"/>
    <n v="1564.14"/>
    <x v="0"/>
    <x v="3"/>
    <x v="3"/>
  </r>
  <r>
    <x v="1446"/>
    <s v="Detail data tell."/>
    <s v="Salary"/>
    <n v="833.84"/>
    <x v="0"/>
    <x v="3"/>
    <x v="3"/>
  </r>
  <r>
    <x v="1447"/>
    <s v="Fill thousand number."/>
    <s v="Investment"/>
    <n v="1524"/>
    <x v="1"/>
    <x v="3"/>
    <x v="3"/>
  </r>
  <r>
    <x v="1448"/>
    <s v="Nearly care base."/>
    <s v="Travel"/>
    <n v="1881.47"/>
    <x v="0"/>
    <x v="3"/>
    <x v="3"/>
  </r>
  <r>
    <x v="1449"/>
    <s v="Goal once let perform international."/>
    <s v="Rent"/>
    <n v="429.04"/>
    <x v="0"/>
    <x v="3"/>
    <x v="3"/>
  </r>
  <r>
    <x v="1450"/>
    <s v="Important source first him."/>
    <s v="Rent"/>
    <n v="136.94999999999999"/>
    <x v="0"/>
    <x v="3"/>
    <x v="3"/>
  </r>
  <r>
    <x v="1451"/>
    <s v="Doctor population grow bar."/>
    <s v="Food &amp; Drink"/>
    <n v="62.47"/>
    <x v="0"/>
    <x v="3"/>
    <x v="3"/>
  </r>
  <r>
    <x v="1452"/>
    <s v="National back everybody direction budget."/>
    <s v="Rent"/>
    <n v="216.82"/>
    <x v="0"/>
    <x v="3"/>
    <x v="3"/>
  </r>
  <r>
    <x v="1453"/>
    <s v="National free."/>
    <s v="Rent"/>
    <n v="1313.12"/>
    <x v="0"/>
    <x v="3"/>
    <x v="3"/>
  </r>
  <r>
    <x v="1454"/>
    <s v="Few spring raise."/>
    <s v="Travel"/>
    <n v="466.42"/>
    <x v="0"/>
    <x v="3"/>
    <x v="3"/>
  </r>
  <r>
    <x v="1455"/>
    <s v="Relationship your your."/>
    <s v="Salary"/>
    <n v="1256.7"/>
    <x v="0"/>
    <x v="3"/>
    <x v="3"/>
  </r>
  <r>
    <x v="1456"/>
    <s v="Across federal state."/>
    <s v="Investment"/>
    <n v="734"/>
    <x v="1"/>
    <x v="3"/>
    <x v="3"/>
  </r>
  <r>
    <x v="1457"/>
    <s v="State serious activity pressure."/>
    <s v="Other"/>
    <n v="3164"/>
    <x v="1"/>
    <x v="3"/>
    <x v="3"/>
  </r>
  <r>
    <x v="1458"/>
    <s v="Dinner rich decide do."/>
    <s v="Salary"/>
    <n v="1950.21"/>
    <x v="0"/>
    <x v="3"/>
    <x v="3"/>
  </r>
  <r>
    <x v="1459"/>
    <s v="Serious reveal left social fine."/>
    <s v="Travel"/>
    <n v="1101.6099999999999"/>
    <x v="0"/>
    <x v="3"/>
    <x v="3"/>
  </r>
  <r>
    <x v="1460"/>
    <s v="Show recently decide last."/>
    <s v="Investment"/>
    <n v="4240"/>
    <x v="1"/>
    <x v="4"/>
    <x v="4"/>
  </r>
  <r>
    <x v="1461"/>
    <s v="Hear officer."/>
    <s v="Shopping"/>
    <n v="1051.69"/>
    <x v="0"/>
    <x v="4"/>
    <x v="4"/>
  </r>
  <r>
    <x v="1462"/>
    <s v="Wall act special."/>
    <s v="Travel"/>
    <n v="1818.76"/>
    <x v="0"/>
    <x v="4"/>
    <x v="4"/>
  </r>
  <r>
    <x v="1463"/>
    <s v="Different international sell several."/>
    <s v="Entertainment"/>
    <n v="1611.37"/>
    <x v="0"/>
    <x v="4"/>
    <x v="4"/>
  </r>
  <r>
    <x v="1464"/>
    <s v="For age size."/>
    <s v="Health &amp; Fitness"/>
    <n v="830.29"/>
    <x v="0"/>
    <x v="4"/>
    <x v="4"/>
  </r>
  <r>
    <x v="1465"/>
    <s v="With yes nothing."/>
    <s v="Investment"/>
    <n v="500"/>
    <x v="1"/>
    <x v="4"/>
    <x v="4"/>
  </r>
  <r>
    <x v="1466"/>
    <s v="Woman daughter hospital move."/>
    <s v="Utilities"/>
    <n v="694.33"/>
    <x v="0"/>
    <x v="4"/>
    <x v="4"/>
  </r>
  <r>
    <x v="1467"/>
    <s v="Board notice later thus."/>
    <s v="Food &amp; Drink"/>
    <n v="1378.66"/>
    <x v="0"/>
    <x v="4"/>
    <x v="4"/>
  </r>
  <r>
    <x v="1468"/>
    <s v="Bit need allow."/>
    <s v="Salary"/>
    <n v="606.22"/>
    <x v="0"/>
    <x v="4"/>
    <x v="4"/>
  </r>
  <r>
    <x v="1469"/>
    <s v="Cost attorney."/>
    <s v="Travel"/>
    <n v="1198.04"/>
    <x v="0"/>
    <x v="4"/>
    <x v="4"/>
  </r>
  <r>
    <x v="1470"/>
    <s v="Day fact modern."/>
    <s v="Health &amp; Fitness"/>
    <n v="385.26"/>
    <x v="0"/>
    <x v="4"/>
    <x v="4"/>
  </r>
  <r>
    <x v="1471"/>
    <s v="Happy action."/>
    <s v="Shopping"/>
    <n v="795.56"/>
    <x v="0"/>
    <x v="4"/>
    <x v="4"/>
  </r>
  <r>
    <x v="1472"/>
    <s v="Hospital writer can industry."/>
    <s v="Other"/>
    <n v="3599"/>
    <x v="1"/>
    <x v="4"/>
    <x v="4"/>
  </r>
  <r>
    <x v="1473"/>
    <s v="Western tend candidate day."/>
    <s v="Rent"/>
    <n v="850.26"/>
    <x v="0"/>
    <x v="4"/>
    <x v="4"/>
  </r>
  <r>
    <x v="1474"/>
    <s v="City offer financial data."/>
    <s v="Travel"/>
    <n v="576.51"/>
    <x v="0"/>
    <x v="4"/>
    <x v="4"/>
  </r>
  <r>
    <x v="1475"/>
    <s v="Cut yard knowledge."/>
    <s v="Travel"/>
    <n v="831.68"/>
    <x v="0"/>
    <x v="4"/>
    <x v="4"/>
  </r>
  <r>
    <x v="1476"/>
    <s v="Space moment travel these least."/>
    <s v="Utilities"/>
    <n v="281.88"/>
    <x v="0"/>
    <x v="4"/>
    <x v="4"/>
  </r>
  <r>
    <x v="1477"/>
    <s v="Say explain."/>
    <s v="Other"/>
    <n v="4209"/>
    <x v="1"/>
    <x v="4"/>
    <x v="4"/>
  </r>
  <r>
    <x v="1478"/>
    <s v="Red republican father party."/>
    <s v="Salary"/>
    <n v="383.7"/>
    <x v="0"/>
    <x v="4"/>
    <x v="4"/>
  </r>
  <r>
    <x v="1479"/>
    <s v="Eat tonight run leader."/>
    <s v="Investment"/>
    <n v="4882"/>
    <x v="1"/>
    <x v="4"/>
    <x v="4"/>
  </r>
  <r>
    <x v="1480"/>
    <s v="Believe recognize analysis those citizen."/>
    <s v="Investment"/>
    <n v="2811"/>
    <x v="1"/>
    <x v="4"/>
    <x v="4"/>
  </r>
  <r>
    <x v="1481"/>
    <s v="Project at risk."/>
    <s v="Salary"/>
    <n v="1456.94"/>
    <x v="0"/>
    <x v="4"/>
    <x v="4"/>
  </r>
  <r>
    <x v="1482"/>
    <s v="In seven building hard."/>
    <s v="Utilities"/>
    <n v="39.299999999999997"/>
    <x v="0"/>
    <x v="4"/>
    <x v="4"/>
  </r>
  <r>
    <x v="1483"/>
    <s v="Short for late education."/>
    <s v="Shopping"/>
    <n v="630.04"/>
    <x v="0"/>
    <x v="4"/>
    <x v="4"/>
  </r>
  <r>
    <x v="1484"/>
    <s v="Left available."/>
    <s v="Health &amp; Fitness"/>
    <n v="932.73"/>
    <x v="0"/>
    <x v="4"/>
    <x v="4"/>
  </r>
  <r>
    <x v="1485"/>
    <s v="Gas human create also."/>
    <s v="Health &amp; Fitness"/>
    <n v="169.64"/>
    <x v="0"/>
    <x v="4"/>
    <x v="4"/>
  </r>
  <r>
    <x v="1486"/>
    <s v="Remember carry."/>
    <s v="Utilities"/>
    <n v="121.52"/>
    <x v="0"/>
    <x v="4"/>
    <x v="4"/>
  </r>
  <r>
    <x v="1487"/>
    <s v="Leave bar prevent require."/>
    <s v="Rent"/>
    <n v="1090.95"/>
    <x v="0"/>
    <x v="4"/>
    <x v="4"/>
  </r>
  <r>
    <x v="1488"/>
    <s v="Likely evidence claim."/>
    <s v="Other"/>
    <n v="3625"/>
    <x v="1"/>
    <x v="4"/>
    <x v="4"/>
  </r>
  <r>
    <x v="1489"/>
    <s v="Beyond family movement hospital back."/>
    <s v="Rent"/>
    <n v="1949.45"/>
    <x v="0"/>
    <x v="4"/>
    <x v="4"/>
  </r>
  <r>
    <x v="1490"/>
    <s v="Child group describe."/>
    <s v="Shopping"/>
    <n v="1544.74"/>
    <x v="0"/>
    <x v="4"/>
    <x v="4"/>
  </r>
  <r>
    <x v="1491"/>
    <s v="Democratic recent student specific political."/>
    <s v="Food &amp; Drink"/>
    <n v="406.37"/>
    <x v="0"/>
    <x v="4"/>
    <x v="4"/>
  </r>
  <r>
    <x v="1492"/>
    <s v="Real know our any."/>
    <s v="Rent"/>
    <n v="1047.07"/>
    <x v="0"/>
    <x v="4"/>
    <x v="4"/>
  </r>
  <r>
    <x v="1493"/>
    <s v="Up hear draw."/>
    <s v="Salary"/>
    <n v="784.35"/>
    <x v="0"/>
    <x v="4"/>
    <x v="4"/>
  </r>
  <r>
    <x v="1494"/>
    <s v="Instead writer."/>
    <s v="Health &amp; Fitness"/>
    <n v="325.64"/>
    <x v="0"/>
    <x v="4"/>
    <x v="4"/>
  </r>
  <r>
    <x v="1495"/>
    <s v="Quite as when."/>
    <s v="Rent"/>
    <n v="514.09"/>
    <x v="0"/>
    <x v="4"/>
    <x v="4"/>
  </r>
  <r>
    <x v="1496"/>
    <s v="Right analysis mention."/>
    <s v="Entertainment"/>
    <n v="727.25"/>
    <x v="0"/>
    <x v="4"/>
    <x v="4"/>
  </r>
  <r>
    <x v="1497"/>
    <s v="No couple debate must."/>
    <s v="Investment"/>
    <n v="1425"/>
    <x v="1"/>
    <x v="4"/>
    <x v="4"/>
  </r>
  <r>
    <x v="1498"/>
    <s v="Discussion black follow."/>
    <s v="Shopping"/>
    <n v="655.78"/>
    <x v="0"/>
    <x v="4"/>
    <x v="4"/>
  </r>
  <r>
    <x v="1499"/>
    <s v="Pressure activity defense detail."/>
    <s v="Other"/>
    <n v="1480"/>
    <x v="1"/>
    <x v="4"/>
    <x v="4"/>
  </r>
  <r>
    <x v="1500"/>
    <m/>
    <m/>
    <m/>
    <x v="2"/>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7307E-1DDB-4B99-B52F-BE468635E7E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3" firstHeaderRow="1" firstDataRow="1" firstDataCol="1"/>
  <pivotFields count="10">
    <pivotField showAll="0">
      <items count="1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t="default"/>
      </items>
    </pivotField>
    <pivotField showAll="0"/>
    <pivotField showAll="0"/>
    <pivotField dataField="1" showAll="0"/>
    <pivotField axis="axisRow" showAll="0">
      <items count="4">
        <item x="0"/>
        <item h="1" x="1"/>
        <item h="1" x="2"/>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sd="0" x="6"/>
        <item t="default"/>
      </items>
    </pivotField>
  </pivotFields>
  <rowFields count="2">
    <field x="9"/>
    <field x="4"/>
  </rowFields>
  <rowItems count="2">
    <i>
      <x v="3"/>
    </i>
    <i t="grand">
      <x/>
    </i>
  </rowItems>
  <colItems count="1">
    <i/>
  </colItems>
  <dataFields count="1">
    <dataField name="Sum of Amount" fld="3" baseField="0" baseItem="0"/>
  </dataFields>
  <chartFormats count="3">
    <chartFormat chart="0" format="5"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D90406-CA5A-4D17-BF1D-B9B349391F05}" autoFormatId="16" applyNumberFormats="0" applyBorderFormats="0" applyFontFormats="0" applyPatternFormats="0" applyAlignmentFormats="0" applyWidthHeightFormats="0">
  <queryTableRefresh nextId="8" unboundColumnsRight="1">
    <queryTableFields count="6">
      <queryTableField id="1" name="Date" tableColumnId="1"/>
      <queryTableField id="2" name="Transaction Description" tableColumnId="2"/>
      <queryTableField id="3" name="Category" tableColumnId="3"/>
      <queryTableField id="4" name="Amount" tableColumnId="4"/>
      <queryTableField id="5" name="Type"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1C16948B-4004-4DF7-A913-A395CE77728D}" sourceName="Year2">
  <pivotTables>
    <pivotTable tabId="10" name="PivotTable31"/>
  </pivotTables>
  <data>
    <tabular pivotCacheId="750704445">
      <items count="6">
        <i x="0"/>
        <i x="1"/>
        <i x="2" s="1"/>
        <i x="3"/>
        <i x="4"/>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FA591F-7C3A-459F-9180-1FC134725358}" sourceName="Year">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65C5808-2263-4AB7-9D0D-A5036A398673}" sourceName="Year">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Selector_Income 1" xr10:uid="{F5B15861-393F-4699-A1A6-A516F7802E6C}" cache="Slicer_Year1" caption="Select 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elector - Expenses 1" xr10:uid="{8DE583A6-30AD-4D4C-88A1-68485C9DFAA8}" cache="Slicer_Year2" caption="Year"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Selector_Expenses_Sheet6 1" xr10:uid="{2FCE4EDB-7D66-4433-924F-560149441575}" cache="Slicer_Year" caption="Select 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elector - Expenses" xr10:uid="{DAC04FC0-FC4F-4940-B63E-BD2DD35A8CB3}" cache="Slicer_Year2" caption="Year" style="SlicerStyleDark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Selector_Expenses_Sheet6" xr10:uid="{DB061B7F-10FB-4684-9BFA-662F53F0317D}" cache="Slicer_Year" caption="Select Year"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Selector_Income" xr10:uid="{DEE421B7-3C2A-45F3-BF12-2BD8BFA2518D}" cache="Slicer_Year1" caption="Select 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DFBFF-0111-4792-ADED-9E8AD21AE8B9}" name="Personal_Finance_Dataset" displayName="Personal_Finance_Dataset" ref="A1:F1501" tableType="queryTable" totalsRowShown="0" headerRowDxfId="21" dataDxfId="20" headerRowCellStyle="Heading 2" dataCellStyle="Normal">
  <autoFilter ref="A1:F1501" xr:uid="{241DFBFF-0111-4792-ADED-9E8AD21AE8B9}"/>
  <tableColumns count="6">
    <tableColumn id="1" xr3:uid="{9D9F7FFD-8F9F-45CE-8A06-DB7E024486F8}" uniqueName="1" name="Date" queryTableFieldId="1" dataDxfId="19" dataCellStyle="Normal"/>
    <tableColumn id="2" xr3:uid="{2C338374-E6F6-4F0C-84FC-4128FA1625DD}" uniqueName="2" name="Transaction Description" queryTableFieldId="2" dataDxfId="18" dataCellStyle="Normal"/>
    <tableColumn id="3" xr3:uid="{3C33C35F-B850-407A-AA03-409F3A578DF0}" uniqueName="3" name="Category" queryTableFieldId="3" dataDxfId="17" dataCellStyle="Normal"/>
    <tableColumn id="4" xr3:uid="{81F351A9-C68D-438C-B35F-3F99EF656E2B}" uniqueName="4" name="Amount" queryTableFieldId="4" dataDxfId="16" dataCellStyle="Normal"/>
    <tableColumn id="5" xr3:uid="{E62FC0D6-E23F-4A57-8A03-3CDFF3790BD6}" uniqueName="5" name="Type" queryTableFieldId="5" dataDxfId="15" dataCellStyle="Normal"/>
    <tableColumn id="6" xr3:uid="{A56840E0-9CB6-4F35-9ECA-DFA970341454}" uniqueName="6" name="Year" queryTableFieldId="6" dataDxfId="14" dataCellStyle="Normal">
      <calculatedColumnFormula>YEAR(Personal_Finance_Dataset[[#This Row],[Date]])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2D8A77-AB7D-433E-BED0-1A355B2D1186}" name="Monthly_Expenses_By_Year_Sheet6" displayName="Monthly_Expenses_By_Year_Sheet6" ref="A1:D61" totalsRowShown="0" headerRowCellStyle="Normal">
  <autoFilter ref="A1:D61" xr:uid="{9B2D8A77-AB7D-433E-BED0-1A355B2D1186}">
    <filterColumn colId="0">
      <filters>
        <filter val="2020"/>
      </filters>
    </filterColumn>
  </autoFilter>
  <tableColumns count="4">
    <tableColumn id="1" xr3:uid="{AFF2B655-3638-4335-86D1-14AE7F10234B}" name="Year"/>
    <tableColumn id="2" xr3:uid="{FB9BF61B-84AA-4EFD-97FA-42B6F2F62919}" name="Month" dataDxfId="13"/>
    <tableColumn id="3" xr3:uid="{C689D337-B13A-4FA4-A1BA-9F23B02C6833}" name="MonthNum"/>
    <tableColumn id="4" xr3:uid="{B348E373-DF05-45D6-A5EF-427068071E26}" name="Monthly Expenses" dataDxfId="12">
      <calculatedColumnFormula>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687CAA-099F-4395-ACDB-F91A90BB65F8}" name="Income_vs_Expense_Table" displayName="Income_vs_Expense_Table" ref="A1:D6" totalsRowShown="0" headerRowCellStyle="Normal" dataCellStyle="Normal">
  <autoFilter ref="A1:D6" xr:uid="{9B687CAA-099F-4395-ACDB-F91A90BB65F8}"/>
  <tableColumns count="4">
    <tableColumn id="1" xr3:uid="{7378ADF0-C5C5-4141-AB42-4D4F37B8528D}" name="Year" dataCellStyle="Normal"/>
    <tableColumn id="2" xr3:uid="{46DB84BD-26EF-493C-A9B4-AB58FD73A826}" name="Income" dataCellStyle="Normal">
      <calculatedColumnFormula>SUMIFS(Personal_Finance_Dataset[Amount],Personal_Finance_Dataset[Type],"Income",Personal_Finance_Dataset[Year],Income_vs_Expense_Table[[#This Row],[Year]])</calculatedColumnFormula>
    </tableColumn>
    <tableColumn id="3" xr3:uid="{2B4DD456-CEAC-4281-BF11-FB0954D71A48}" name="Expense" dataCellStyle="Normal">
      <calculatedColumnFormula>SUMIFS(Personal_Finance_Dataset[Amount],Personal_Finance_Dataset[Type],"Expense",Personal_Finance_Dataset[Year],Income_vs_Expense_Table[[#This Row],[Year]])</calculatedColumnFormula>
    </tableColumn>
    <tableColumn id="4" xr3:uid="{4EF58905-9FF4-4A8E-AAC9-D5A697AB223C}" name="Net Cash Flow" dataCellStyle="Normal">
      <calculatedColumnFormula>Income_vs_Expense_Table[[#This Row],[Income]]-Income_vs_Expense_Table[[#This Row],[Expense]]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586F97-8C1A-49A5-97D0-18A4846548A3}" name="Types_of_Expenses_Table" displayName="Types_of_Expenses_Table" ref="A1:B9" totalsRowShown="0">
  <autoFilter ref="A1:B9" xr:uid="{3F586F97-8C1A-49A5-97D0-18A4846548A3}"/>
  <tableColumns count="2">
    <tableColumn id="1" xr3:uid="{A20CE783-26D0-4E98-8DFA-183454C04EDF}" name="Category"/>
    <tableColumn id="2" xr3:uid="{6BF9985E-C68A-46BC-87E6-947EC58AD0FC}" name="Expense Amount" dataDxfId="11">
      <calculatedColumnFormula>SUMIFS(Personal_Finance_Dataset[Amount],Personal_Finance_Dataset[Type],"Expense",Personal_Finance_Dataset[Category],Types_of_Expenses_Table[[#This Row],[Category]])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939152-2860-4981-965F-CB48419DB503}" name="Annual_Income_Table" displayName="Annual_Income_Table" ref="A1:B6" totalsRowShown="0" headerRowDxfId="10">
  <autoFilter ref="A1:B6" xr:uid="{DB939152-2860-4981-965F-CB48419DB503}"/>
  <tableColumns count="2">
    <tableColumn id="1" xr3:uid="{FB0FC547-A49A-41A0-A33F-4BC3F5F9F00A}" name="Year"/>
    <tableColumn id="2" xr3:uid="{B92DFD43-11B4-49BE-AA59-D1A31411B483}" name="Annual Income" dataDxfId="9">
      <calculatedColumnFormula>SUMIFS(Personal_Finance_Dataset[Amount],Personal_Finance_Dataset[Type],"Income",Personal_Finance_Dataset[Year],Annual_Income_Table[[#This Row],[Year]])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49FC75-3299-49B7-AD81-4ECAA4A3E3B9}" name="Types_of_Income_Table" displayName="Types_of_Income_Table" ref="A1:B3" totalsRowShown="0" headerRowDxfId="8">
  <autoFilter ref="A1:B3" xr:uid="{FF49FC75-3299-49B7-AD81-4ECAA4A3E3B9}"/>
  <tableColumns count="2">
    <tableColumn id="1" xr3:uid="{96ABBD4D-3F72-4774-9AA6-050E8C3DD3D2}" name="Category"/>
    <tableColumn id="2" xr3:uid="{5007BD2B-4568-44B6-9F6B-75CC2021B57E}" name="Income Amount" dataDxfId="7">
      <calculatedColumnFormula>SUMIFS(Personal_Finance_Dataset[Amount],Personal_Finance_Dataset[Type],"Income",Personal_Finance_Dataset[Category],Types_of_Income_Table[[#This Row],[Category]])</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B0ABEB-1BDC-4905-B874-84ADBBF66427}" name="Monthly_Income_By_Year" displayName="Monthly_Income_By_Year" ref="A5:D65" totalsRowShown="0" headerRowDxfId="6">
  <autoFilter ref="A5:D65" xr:uid="{4AB0ABEB-1BDC-4905-B874-84ADBBF66427}">
    <filterColumn colId="0">
      <filters>
        <filter val="2020"/>
      </filters>
    </filterColumn>
  </autoFilter>
  <tableColumns count="4">
    <tableColumn id="1" xr3:uid="{43622551-C4C0-42B9-BB32-AC8C3C0826DD}" name="Year"/>
    <tableColumn id="2" xr3:uid="{22AC03DA-61EC-492E-A707-26F9988E851A}" name="Month" dataDxfId="5"/>
    <tableColumn id="3" xr3:uid="{EBD12447-0C40-4ACE-8239-0F5AF23E894B}" name="MonthNum"/>
    <tableColumn id="4" xr3:uid="{AF83967C-200E-40D3-85D0-6FA904CAF221}" name="Monthly Income" dataDxfId="4">
      <calculatedColumnFormula>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073274-DE1F-4042-89FD-5FC2ABB0D1FF}" name="Investment_Income_2023_Table" displayName="Investment_Income_2023_Table" ref="A5:C17" totalsRowShown="0" headerRowDxfId="3">
  <autoFilter ref="A5:C17" xr:uid="{0E073274-DE1F-4042-89FD-5FC2ABB0D1FF}"/>
  <tableColumns count="3">
    <tableColumn id="1" xr3:uid="{DD694A3F-9E7A-48E5-BF77-CE0863421D49}" name="Month"/>
    <tableColumn id="2" xr3:uid="{14D84AE6-F994-4FC0-9E43-5B8DB677777B}" name="MonthNum"/>
    <tableColumn id="3" xr3:uid="{4601E952-753F-4F22-9C59-33BC2DBC6CB5}" name="Investment Income" dataDxfId="2">
      <calculatedColumnFormula>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2ED9CE-D32F-4CDA-848A-6C62E263326D}" name="Income_Source_2023_Table" displayName="Income_Source_2023_Table" ref="A4:C7" totalsRowShown="0" headerRowDxfId="0" headerRowBorderDxfId="1">
  <autoFilter ref="A4:C7" xr:uid="{4D2ED9CE-D32F-4CDA-848A-6C62E263326D}"/>
  <tableColumns count="3">
    <tableColumn id="1" xr3:uid="{2DF59A3E-0115-4E1F-ACC0-0CA3AE68FA37}" name="Income Source"/>
    <tableColumn id="2" xr3:uid="{0521D134-F6E5-4B99-8E90-857056699956}" name="2023 Income"/>
    <tableColumn id="3" xr3:uid="{63847823-1206-47ED-B18F-E01A6CDBDD01}" name="Share of Incom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7.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806F-666D-468C-9F6F-F8AF943AFC98}">
  <dimension ref="A1:X1501"/>
  <sheetViews>
    <sheetView workbookViewId="0">
      <selection activeCell="S12" sqref="S12"/>
    </sheetView>
  </sheetViews>
  <sheetFormatPr defaultRowHeight="15" x14ac:dyDescent="0.25"/>
  <cols>
    <col min="1" max="1" width="33.7109375" style="4" customWidth="1"/>
    <col min="2" max="2" width="45.42578125" style="2" bestFit="1" customWidth="1"/>
    <col min="3" max="3" width="15.5703125" style="2" bestFit="1" customWidth="1"/>
    <col min="4" max="4" width="10.42578125" style="2" bestFit="1" customWidth="1"/>
    <col min="5" max="5" width="8.42578125" style="2" bestFit="1" customWidth="1"/>
    <col min="15" max="15" width="18.5703125" customWidth="1"/>
    <col min="18" max="18" width="13.7109375" customWidth="1"/>
    <col min="19" max="19" width="17.7109375" customWidth="1"/>
    <col min="20" max="20" width="16.28515625" customWidth="1"/>
    <col min="22" max="22" width="20" customWidth="1"/>
    <col min="23" max="23" width="16.5703125" customWidth="1"/>
    <col min="24" max="24" width="19.140625" customWidth="1"/>
  </cols>
  <sheetData>
    <row r="1" spans="1:24" ht="18.75" thickTop="1" thickBot="1" x14ac:dyDescent="0.35">
      <c r="A1" s="6" t="s">
        <v>0</v>
      </c>
      <c r="B1" s="7" t="s">
        <v>1</v>
      </c>
      <c r="C1" s="7" t="s">
        <v>2</v>
      </c>
      <c r="D1" s="7" t="s">
        <v>3</v>
      </c>
      <c r="E1" s="7" t="s">
        <v>4</v>
      </c>
      <c r="F1" s="3" t="s">
        <v>1520</v>
      </c>
      <c r="G1" s="3" t="s">
        <v>1520</v>
      </c>
      <c r="I1" s="3" t="s">
        <v>1517</v>
      </c>
      <c r="J1" s="3" t="s">
        <v>1519</v>
      </c>
      <c r="L1" s="7" t="s">
        <v>1550</v>
      </c>
      <c r="M1" s="7" t="s">
        <v>1551</v>
      </c>
      <c r="O1" s="26" t="s">
        <v>1556</v>
      </c>
      <c r="P1" s="27" t="s">
        <v>1551</v>
      </c>
      <c r="R1" s="27" t="s">
        <v>1568</v>
      </c>
      <c r="S1" s="27" t="s">
        <v>1563</v>
      </c>
      <c r="T1" s="27" t="s">
        <v>1562</v>
      </c>
      <c r="U1" s="27" t="s">
        <v>1569</v>
      </c>
      <c r="V1" s="27" t="s">
        <v>1570</v>
      </c>
      <c r="W1" s="46" t="s">
        <v>1572</v>
      </c>
      <c r="X1" s="46" t="s">
        <v>1574</v>
      </c>
    </row>
    <row r="2" spans="1:24" ht="15.75" thickTop="1" x14ac:dyDescent="0.25">
      <c r="A2" s="8">
        <v>43832</v>
      </c>
      <c r="B2" s="9" t="s">
        <v>5</v>
      </c>
      <c r="C2" s="9" t="s">
        <v>6</v>
      </c>
      <c r="D2" s="9">
        <v>1485.69</v>
      </c>
      <c r="E2" s="9" t="s">
        <v>7</v>
      </c>
      <c r="F2" s="11">
        <f>YEAR(Personal_Finance_Dataset[[#This Row],[Date]])</f>
        <v>2020</v>
      </c>
      <c r="G2">
        <f t="shared" ref="G2:G65" si="0">YEAR(A2)</f>
        <v>2020</v>
      </c>
      <c r="I2">
        <v>10000</v>
      </c>
      <c r="J2">
        <v>2020</v>
      </c>
      <c r="L2" t="s">
        <v>1552</v>
      </c>
      <c r="M2">
        <v>948000</v>
      </c>
      <c r="O2" t="s">
        <v>1552</v>
      </c>
      <c r="P2">
        <v>300000</v>
      </c>
      <c r="R2" t="s">
        <v>1564</v>
      </c>
      <c r="S2" s="28">
        <v>84737</v>
      </c>
      <c r="T2" t="s">
        <v>1566</v>
      </c>
      <c r="U2" t="s">
        <v>1563</v>
      </c>
      <c r="V2" t="s">
        <v>1576</v>
      </c>
      <c r="W2" t="s">
        <v>22</v>
      </c>
      <c r="X2" s="29">
        <f>SUMIFS(Personal_Finance_Dataset[Amount],Personal_Finance_Dataset[Year],2023,Personal_Finance_Dataset[Type],"Expense",Personal_Finance_Dataset[Category],TRIM(W2))</f>
        <v>42256.350000000006</v>
      </c>
    </row>
    <row r="3" spans="1:24" x14ac:dyDescent="0.25">
      <c r="A3" s="8">
        <v>43833</v>
      </c>
      <c r="B3" s="9" t="s">
        <v>8</v>
      </c>
      <c r="C3" s="9" t="s">
        <v>9</v>
      </c>
      <c r="D3" s="9">
        <v>1475.58</v>
      </c>
      <c r="E3" s="9" t="s">
        <v>7</v>
      </c>
      <c r="F3" s="12">
        <f>YEAR(Personal_Finance_Dataset[[#This Row],[Date]])</f>
        <v>2020</v>
      </c>
      <c r="G3">
        <f t="shared" si="0"/>
        <v>2020</v>
      </c>
      <c r="I3">
        <v>15000</v>
      </c>
      <c r="J3">
        <v>2021</v>
      </c>
      <c r="L3" t="s">
        <v>1553</v>
      </c>
      <c r="M3">
        <v>30000</v>
      </c>
      <c r="O3" t="s">
        <v>1557</v>
      </c>
      <c r="P3">
        <v>11000</v>
      </c>
      <c r="R3" t="s">
        <v>1565</v>
      </c>
      <c r="S3" s="28">
        <v>104075</v>
      </c>
      <c r="T3" t="s">
        <v>1567</v>
      </c>
      <c r="U3" t="s">
        <v>1563</v>
      </c>
      <c r="V3" t="s">
        <v>1575</v>
      </c>
      <c r="W3" t="s">
        <v>6</v>
      </c>
      <c r="X3" s="29">
        <f>SUMIFS(Personal_Finance_Dataset[Amount],Personal_Finance_Dataset[Year],2023,Personal_Finance_Dataset[Type],"Expense",Personal_Finance_Dataset[Category],TRIM(W3))</f>
        <v>41880.710000000006</v>
      </c>
    </row>
    <row r="4" spans="1:24" x14ac:dyDescent="0.25">
      <c r="A4" s="8">
        <v>43834</v>
      </c>
      <c r="B4" s="9" t="s">
        <v>10</v>
      </c>
      <c r="C4" s="9" t="s">
        <v>11</v>
      </c>
      <c r="D4" s="9">
        <v>1185.08</v>
      </c>
      <c r="E4" s="9" t="s">
        <v>7</v>
      </c>
      <c r="F4" s="12">
        <f>YEAR(Personal_Finance_Dataset[[#This Row],[Date]])</f>
        <v>2020</v>
      </c>
      <c r="G4">
        <f t="shared" si="0"/>
        <v>2020</v>
      </c>
      <c r="I4">
        <v>20000</v>
      </c>
      <c r="J4">
        <v>2022</v>
      </c>
      <c r="L4" t="s">
        <v>1554</v>
      </c>
      <c r="M4">
        <v>9000</v>
      </c>
      <c r="S4" s="28"/>
      <c r="V4" t="s">
        <v>1575</v>
      </c>
      <c r="W4" t="s">
        <v>25</v>
      </c>
      <c r="X4" s="29">
        <f>SUMIFS(Personal_Finance_Dataset[Amount],Personal_Finance_Dataset[Year],2023,Personal_Finance_Dataset[Type],"Expense",Personal_Finance_Dataset[Category],TRIM(W4))</f>
        <v>40177.519999999997</v>
      </c>
    </row>
    <row r="5" spans="1:24" x14ac:dyDescent="0.25">
      <c r="A5" s="8">
        <v>43835</v>
      </c>
      <c r="B5" s="9" t="s">
        <v>12</v>
      </c>
      <c r="C5" s="9" t="s">
        <v>13</v>
      </c>
      <c r="D5" s="9">
        <v>2291</v>
      </c>
      <c r="E5" s="9" t="s">
        <v>14</v>
      </c>
      <c r="F5" s="12">
        <f>YEAR(Personal_Finance_Dataset[[#This Row],[Date]])</f>
        <v>2020</v>
      </c>
      <c r="G5">
        <f t="shared" si="0"/>
        <v>2020</v>
      </c>
      <c r="I5">
        <v>25000</v>
      </c>
      <c r="J5">
        <v>2023</v>
      </c>
      <c r="L5" t="s">
        <v>1555</v>
      </c>
      <c r="M5">
        <v>45000</v>
      </c>
      <c r="V5" t="s">
        <v>1575</v>
      </c>
      <c r="W5" t="s">
        <v>11</v>
      </c>
      <c r="X5" s="29">
        <f>SUMIFS(Personal_Finance_Dataset[Amount],Personal_Finance_Dataset[Year],2023,Personal_Finance_Dataset[Type],"Expense",Personal_Finance_Dataset[Category],TRIM(W5))</f>
        <v>31434.789999999997</v>
      </c>
    </row>
    <row r="6" spans="1:24" x14ac:dyDescent="0.25">
      <c r="A6" s="8">
        <v>43836</v>
      </c>
      <c r="B6" s="9" t="s">
        <v>15</v>
      </c>
      <c r="C6" s="9" t="s">
        <v>6</v>
      </c>
      <c r="D6" s="9">
        <v>1126.8800000000001</v>
      </c>
      <c r="E6" s="9" t="s">
        <v>7</v>
      </c>
      <c r="F6" s="12">
        <f>YEAR(Personal_Finance_Dataset[[#This Row],[Date]])</f>
        <v>2020</v>
      </c>
      <c r="G6">
        <f t="shared" si="0"/>
        <v>2020</v>
      </c>
      <c r="I6">
        <v>30000</v>
      </c>
      <c r="J6">
        <v>2024</v>
      </c>
      <c r="V6" t="s">
        <v>1571</v>
      </c>
      <c r="W6" t="s">
        <v>1573</v>
      </c>
      <c r="X6" s="28">
        <v>55632.4</v>
      </c>
    </row>
    <row r="7" spans="1:24" x14ac:dyDescent="0.25">
      <c r="A7" s="8">
        <v>43837</v>
      </c>
      <c r="B7" s="9" t="s">
        <v>16</v>
      </c>
      <c r="C7" s="9" t="s">
        <v>17</v>
      </c>
      <c r="D7" s="9">
        <v>448.68</v>
      </c>
      <c r="E7" s="9" t="s">
        <v>7</v>
      </c>
      <c r="F7" s="12">
        <f>YEAR(Personal_Finance_Dataset[[#This Row],[Date]])</f>
        <v>2020</v>
      </c>
      <c r="G7">
        <f t="shared" si="0"/>
        <v>2020</v>
      </c>
      <c r="V7" t="s">
        <v>1575</v>
      </c>
      <c r="W7" t="s">
        <v>17</v>
      </c>
      <c r="X7" s="29">
        <f>SUMIFS(Personal_Finance_Dataset[Amount],Personal_Finance_Dataset[Year],2023,Personal_Finance_Dataset[Type],"Expense",Personal_Finance_Dataset[Category],TRIM(W7))</f>
        <v>23606.219999999998</v>
      </c>
    </row>
    <row r="8" spans="1:24" x14ac:dyDescent="0.25">
      <c r="A8" s="8">
        <v>43838</v>
      </c>
      <c r="B8" s="9" t="s">
        <v>18</v>
      </c>
      <c r="C8" s="9" t="s">
        <v>6</v>
      </c>
      <c r="D8" s="9">
        <v>1520.03</v>
      </c>
      <c r="E8" s="9" t="s">
        <v>7</v>
      </c>
      <c r="F8" s="12">
        <f>YEAR(Personal_Finance_Dataset[[#This Row],[Date]])</f>
        <v>2020</v>
      </c>
      <c r="G8">
        <f t="shared" si="0"/>
        <v>2020</v>
      </c>
      <c r="V8" t="s">
        <v>1576</v>
      </c>
      <c r="W8" t="s">
        <v>35</v>
      </c>
      <c r="X8" s="29">
        <f>SUMIFS(Personal_Finance_Dataset[Amount],Personal_Finance_Dataset[Year],2023,Personal_Finance_Dataset[Type],"Expense",Personal_Finance_Dataset[Category],TRIM(W8))</f>
        <v>46935.499999999993</v>
      </c>
    </row>
    <row r="9" spans="1:24" x14ac:dyDescent="0.25">
      <c r="A9" s="8">
        <v>43839</v>
      </c>
      <c r="B9" s="9" t="s">
        <v>19</v>
      </c>
      <c r="C9" s="9" t="s">
        <v>20</v>
      </c>
      <c r="D9" s="9">
        <v>3287</v>
      </c>
      <c r="E9" s="9" t="s">
        <v>14</v>
      </c>
      <c r="F9" s="12">
        <f>YEAR(Personal_Finance_Dataset[[#This Row],[Date]])</f>
        <v>2020</v>
      </c>
      <c r="G9">
        <f t="shared" si="0"/>
        <v>2020</v>
      </c>
      <c r="V9" t="s">
        <v>1575</v>
      </c>
      <c r="W9" t="s">
        <v>9</v>
      </c>
      <c r="X9" s="29">
        <f>SUMIFS(Personal_Finance_Dataset[Amount],Personal_Finance_Dataset[Year],2023,Personal_Finance_Dataset[Type],"Expense",Personal_Finance_Dataset[Category],TRIM(W9))</f>
        <v>36498.47</v>
      </c>
    </row>
    <row r="10" spans="1:24" x14ac:dyDescent="0.25">
      <c r="A10" s="8">
        <v>43840</v>
      </c>
      <c r="B10" s="9" t="s">
        <v>21</v>
      </c>
      <c r="C10" s="9" t="s">
        <v>22</v>
      </c>
      <c r="D10" s="9">
        <v>1914.85</v>
      </c>
      <c r="E10" s="9" t="s">
        <v>7</v>
      </c>
      <c r="F10" s="12">
        <f>YEAR(Personal_Finance_Dataset[[#This Row],[Date]])</f>
        <v>2020</v>
      </c>
      <c r="G10">
        <f t="shared" si="0"/>
        <v>2020</v>
      </c>
    </row>
    <row r="11" spans="1:24" x14ac:dyDescent="0.25">
      <c r="A11" s="8">
        <v>43841</v>
      </c>
      <c r="B11" s="9" t="s">
        <v>23</v>
      </c>
      <c r="C11" s="9" t="s">
        <v>11</v>
      </c>
      <c r="D11" s="9">
        <v>766.06</v>
      </c>
      <c r="E11" s="9" t="s">
        <v>7</v>
      </c>
      <c r="F11" s="12">
        <f>YEAR(Personal_Finance_Dataset[[#This Row],[Date]])</f>
        <v>2020</v>
      </c>
      <c r="G11">
        <f t="shared" si="0"/>
        <v>2020</v>
      </c>
    </row>
    <row r="12" spans="1:24" x14ac:dyDescent="0.25">
      <c r="A12" s="8">
        <v>43842</v>
      </c>
      <c r="B12" s="9" t="s">
        <v>24</v>
      </c>
      <c r="C12" s="9" t="s">
        <v>25</v>
      </c>
      <c r="D12" s="9">
        <v>1211.4100000000001</v>
      </c>
      <c r="E12" s="9" t="s">
        <v>7</v>
      </c>
      <c r="F12" s="12">
        <f>YEAR(Personal_Finance_Dataset[[#This Row],[Date]])</f>
        <v>2020</v>
      </c>
      <c r="G12">
        <f t="shared" si="0"/>
        <v>2020</v>
      </c>
    </row>
    <row r="13" spans="1:24" x14ac:dyDescent="0.25">
      <c r="A13" s="8">
        <v>43843</v>
      </c>
      <c r="B13" s="9" t="s">
        <v>26</v>
      </c>
      <c r="C13" s="9" t="s">
        <v>27</v>
      </c>
      <c r="D13" s="9">
        <v>1077.0899999999999</v>
      </c>
      <c r="E13" s="9" t="s">
        <v>7</v>
      </c>
      <c r="F13" s="12">
        <f>YEAR(Personal_Finance_Dataset[[#This Row],[Date]])</f>
        <v>2020</v>
      </c>
      <c r="G13">
        <f t="shared" si="0"/>
        <v>2020</v>
      </c>
    </row>
    <row r="14" spans="1:24" x14ac:dyDescent="0.25">
      <c r="A14" s="8">
        <v>43844</v>
      </c>
      <c r="B14" s="9" t="s">
        <v>28</v>
      </c>
      <c r="C14" s="9" t="s">
        <v>17</v>
      </c>
      <c r="D14" s="9">
        <v>166.81</v>
      </c>
      <c r="E14" s="9" t="s">
        <v>7</v>
      </c>
      <c r="F14" s="12">
        <f>YEAR(Personal_Finance_Dataset[[#This Row],[Date]])</f>
        <v>2020</v>
      </c>
      <c r="G14">
        <f t="shared" si="0"/>
        <v>2020</v>
      </c>
    </row>
    <row r="15" spans="1:24" x14ac:dyDescent="0.25">
      <c r="A15" s="8">
        <v>43845</v>
      </c>
      <c r="B15" s="9" t="s">
        <v>29</v>
      </c>
      <c r="C15" s="9" t="s">
        <v>25</v>
      </c>
      <c r="D15" s="9">
        <v>1158.93</v>
      </c>
      <c r="E15" s="9" t="s">
        <v>7</v>
      </c>
      <c r="F15" s="12">
        <f>YEAR(Personal_Finance_Dataset[[#This Row],[Date]])</f>
        <v>2020</v>
      </c>
      <c r="G15">
        <f t="shared" si="0"/>
        <v>2020</v>
      </c>
    </row>
    <row r="16" spans="1:24" x14ac:dyDescent="0.25">
      <c r="A16" s="8">
        <v>43846</v>
      </c>
      <c r="B16" s="9" t="s">
        <v>30</v>
      </c>
      <c r="C16" s="9" t="s">
        <v>6</v>
      </c>
      <c r="D16" s="9">
        <v>1325.91</v>
      </c>
      <c r="E16" s="9" t="s">
        <v>7</v>
      </c>
      <c r="F16" s="12">
        <f>YEAR(Personal_Finance_Dataset[[#This Row],[Date]])</f>
        <v>2020</v>
      </c>
      <c r="G16">
        <f t="shared" si="0"/>
        <v>2020</v>
      </c>
    </row>
    <row r="17" spans="1:7" x14ac:dyDescent="0.25">
      <c r="A17" s="8">
        <v>43847</v>
      </c>
      <c r="B17" s="9" t="s">
        <v>31</v>
      </c>
      <c r="C17" s="9" t="s">
        <v>11</v>
      </c>
      <c r="D17" s="9">
        <v>1712.08</v>
      </c>
      <c r="E17" s="9" t="s">
        <v>7</v>
      </c>
      <c r="F17" s="12">
        <f>YEAR(Personal_Finance_Dataset[[#This Row],[Date]])</f>
        <v>2020</v>
      </c>
      <c r="G17">
        <f t="shared" si="0"/>
        <v>2020</v>
      </c>
    </row>
    <row r="18" spans="1:7" x14ac:dyDescent="0.25">
      <c r="A18" s="8">
        <v>43848</v>
      </c>
      <c r="B18" s="9" t="s">
        <v>32</v>
      </c>
      <c r="C18" s="9" t="s">
        <v>17</v>
      </c>
      <c r="D18" s="9">
        <v>563.16999999999996</v>
      </c>
      <c r="E18" s="9" t="s">
        <v>7</v>
      </c>
      <c r="F18" s="12">
        <f>YEAR(Personal_Finance_Dataset[[#This Row],[Date]])</f>
        <v>2020</v>
      </c>
      <c r="G18">
        <f t="shared" si="0"/>
        <v>2020</v>
      </c>
    </row>
    <row r="19" spans="1:7" x14ac:dyDescent="0.25">
      <c r="A19" s="8">
        <v>43849</v>
      </c>
      <c r="B19" s="9" t="s">
        <v>33</v>
      </c>
      <c r="C19" s="9" t="s">
        <v>25</v>
      </c>
      <c r="D19" s="9">
        <v>333.68</v>
      </c>
      <c r="E19" s="9" t="s">
        <v>7</v>
      </c>
      <c r="F19" s="12">
        <f>YEAR(Personal_Finance_Dataset[[#This Row],[Date]])</f>
        <v>2020</v>
      </c>
      <c r="G19">
        <f t="shared" si="0"/>
        <v>2020</v>
      </c>
    </row>
    <row r="20" spans="1:7" x14ac:dyDescent="0.25">
      <c r="A20" s="8">
        <v>43850</v>
      </c>
      <c r="B20" s="9" t="s">
        <v>34</v>
      </c>
      <c r="C20" s="9" t="s">
        <v>35</v>
      </c>
      <c r="D20" s="9">
        <v>1406.62</v>
      </c>
      <c r="E20" s="9" t="s">
        <v>7</v>
      </c>
      <c r="F20" s="12">
        <f>YEAR(Personal_Finance_Dataset[[#This Row],[Date]])</f>
        <v>2020</v>
      </c>
      <c r="G20">
        <f t="shared" si="0"/>
        <v>2020</v>
      </c>
    </row>
    <row r="21" spans="1:7" x14ac:dyDescent="0.25">
      <c r="A21" s="8">
        <v>43851</v>
      </c>
      <c r="B21" s="9" t="s">
        <v>36</v>
      </c>
      <c r="C21" s="9" t="s">
        <v>11</v>
      </c>
      <c r="D21" s="9">
        <v>1222.17</v>
      </c>
      <c r="E21" s="9" t="s">
        <v>7</v>
      </c>
      <c r="F21" s="12">
        <f>YEAR(Personal_Finance_Dataset[[#This Row],[Date]])</f>
        <v>2020</v>
      </c>
      <c r="G21">
        <f t="shared" si="0"/>
        <v>2020</v>
      </c>
    </row>
    <row r="22" spans="1:7" x14ac:dyDescent="0.25">
      <c r="A22" s="8">
        <v>43852</v>
      </c>
      <c r="B22" s="9" t="s">
        <v>37</v>
      </c>
      <c r="C22" s="9" t="s">
        <v>13</v>
      </c>
      <c r="D22" s="9">
        <v>1838</v>
      </c>
      <c r="E22" s="9" t="s">
        <v>14</v>
      </c>
      <c r="F22" s="12">
        <f>YEAR(Personal_Finance_Dataset[[#This Row],[Date]])</f>
        <v>2020</v>
      </c>
      <c r="G22">
        <f t="shared" si="0"/>
        <v>2020</v>
      </c>
    </row>
    <row r="23" spans="1:7" x14ac:dyDescent="0.25">
      <c r="A23" s="8">
        <v>43853</v>
      </c>
      <c r="B23" s="9" t="s">
        <v>38</v>
      </c>
      <c r="C23" s="9" t="s">
        <v>35</v>
      </c>
      <c r="D23" s="9">
        <v>1979.15</v>
      </c>
      <c r="E23" s="9" t="s">
        <v>7</v>
      </c>
      <c r="F23" s="12">
        <f>YEAR(Personal_Finance_Dataset[[#This Row],[Date]])</f>
        <v>2020</v>
      </c>
      <c r="G23">
        <f t="shared" si="0"/>
        <v>2020</v>
      </c>
    </row>
    <row r="24" spans="1:7" x14ac:dyDescent="0.25">
      <c r="A24" s="8">
        <v>43854</v>
      </c>
      <c r="B24" s="9" t="s">
        <v>39</v>
      </c>
      <c r="C24" s="9" t="s">
        <v>22</v>
      </c>
      <c r="D24" s="9">
        <v>1372.38</v>
      </c>
      <c r="E24" s="9" t="s">
        <v>7</v>
      </c>
      <c r="F24" s="12">
        <f>YEAR(Personal_Finance_Dataset[[#This Row],[Date]])</f>
        <v>2020</v>
      </c>
      <c r="G24">
        <f t="shared" si="0"/>
        <v>2020</v>
      </c>
    </row>
    <row r="25" spans="1:7" x14ac:dyDescent="0.25">
      <c r="A25" s="8">
        <v>43855</v>
      </c>
      <c r="B25" s="9" t="s">
        <v>40</v>
      </c>
      <c r="C25" s="9" t="s">
        <v>6</v>
      </c>
      <c r="D25" s="9">
        <v>465.81</v>
      </c>
      <c r="E25" s="9" t="s">
        <v>7</v>
      </c>
      <c r="F25" s="12">
        <f>YEAR(Personal_Finance_Dataset[[#This Row],[Date]])</f>
        <v>2020</v>
      </c>
      <c r="G25">
        <f t="shared" si="0"/>
        <v>2020</v>
      </c>
    </row>
    <row r="26" spans="1:7" x14ac:dyDescent="0.25">
      <c r="A26" s="8">
        <v>43856</v>
      </c>
      <c r="B26" s="9" t="s">
        <v>41</v>
      </c>
      <c r="C26" s="9" t="s">
        <v>20</v>
      </c>
      <c r="D26" s="9">
        <v>3786</v>
      </c>
      <c r="E26" s="9" t="s">
        <v>14</v>
      </c>
      <c r="F26" s="12">
        <f>YEAR(Personal_Finance_Dataset[[#This Row],[Date]])</f>
        <v>2020</v>
      </c>
      <c r="G26">
        <f t="shared" si="0"/>
        <v>2020</v>
      </c>
    </row>
    <row r="27" spans="1:7" x14ac:dyDescent="0.25">
      <c r="A27" s="8">
        <v>43857</v>
      </c>
      <c r="B27" s="9" t="s">
        <v>42</v>
      </c>
      <c r="C27" s="9" t="s">
        <v>22</v>
      </c>
      <c r="D27" s="9">
        <v>1827.14</v>
      </c>
      <c r="E27" s="9" t="s">
        <v>7</v>
      </c>
      <c r="F27" s="12">
        <f>YEAR(Personal_Finance_Dataset[[#This Row],[Date]])</f>
        <v>2020</v>
      </c>
      <c r="G27">
        <f t="shared" si="0"/>
        <v>2020</v>
      </c>
    </row>
    <row r="28" spans="1:7" x14ac:dyDescent="0.25">
      <c r="A28" s="8">
        <v>43858</v>
      </c>
      <c r="B28" s="9" t="s">
        <v>43</v>
      </c>
      <c r="C28" s="9" t="s">
        <v>25</v>
      </c>
      <c r="D28" s="9">
        <v>433.13</v>
      </c>
      <c r="E28" s="9" t="s">
        <v>7</v>
      </c>
      <c r="F28" s="12">
        <f>YEAR(Personal_Finance_Dataset[[#This Row],[Date]])</f>
        <v>2020</v>
      </c>
      <c r="G28">
        <f t="shared" si="0"/>
        <v>2020</v>
      </c>
    </row>
    <row r="29" spans="1:7" x14ac:dyDescent="0.25">
      <c r="A29" s="8">
        <v>43859</v>
      </c>
      <c r="B29" s="9" t="s">
        <v>44</v>
      </c>
      <c r="C29" s="9" t="s">
        <v>27</v>
      </c>
      <c r="D29" s="9">
        <v>294.31</v>
      </c>
      <c r="E29" s="9" t="s">
        <v>7</v>
      </c>
      <c r="F29" s="12">
        <f>YEAR(Personal_Finance_Dataset[[#This Row],[Date]])</f>
        <v>2020</v>
      </c>
      <c r="G29">
        <f t="shared" si="0"/>
        <v>2020</v>
      </c>
    </row>
    <row r="30" spans="1:7" x14ac:dyDescent="0.25">
      <c r="A30" s="8">
        <v>43860</v>
      </c>
      <c r="B30" s="9" t="s">
        <v>45</v>
      </c>
      <c r="C30" s="9" t="s">
        <v>20</v>
      </c>
      <c r="D30" s="9">
        <v>4009</v>
      </c>
      <c r="E30" s="9" t="s">
        <v>14</v>
      </c>
      <c r="F30" s="12">
        <f>YEAR(Personal_Finance_Dataset[[#This Row],[Date]])</f>
        <v>2020</v>
      </c>
      <c r="G30">
        <f t="shared" si="0"/>
        <v>2020</v>
      </c>
    </row>
    <row r="31" spans="1:7" x14ac:dyDescent="0.25">
      <c r="A31" s="8">
        <v>43861</v>
      </c>
      <c r="B31" s="9" t="s">
        <v>46</v>
      </c>
      <c r="C31" s="9" t="s">
        <v>17</v>
      </c>
      <c r="D31" s="9">
        <v>730.37</v>
      </c>
      <c r="E31" s="9" t="s">
        <v>7</v>
      </c>
      <c r="F31" s="12">
        <f>YEAR(Personal_Finance_Dataset[[#This Row],[Date]])</f>
        <v>2020</v>
      </c>
      <c r="G31">
        <f t="shared" si="0"/>
        <v>2020</v>
      </c>
    </row>
    <row r="32" spans="1:7" x14ac:dyDescent="0.25">
      <c r="A32" s="8">
        <v>43862</v>
      </c>
      <c r="B32" s="9" t="s">
        <v>47</v>
      </c>
      <c r="C32" s="9" t="s">
        <v>9</v>
      </c>
      <c r="D32" s="9">
        <v>1023.96</v>
      </c>
      <c r="E32" s="9" t="s">
        <v>7</v>
      </c>
      <c r="F32" s="12">
        <f>YEAR(Personal_Finance_Dataset[[#This Row],[Date]])</f>
        <v>2020</v>
      </c>
      <c r="G32">
        <f t="shared" si="0"/>
        <v>2020</v>
      </c>
    </row>
    <row r="33" spans="1:7" x14ac:dyDescent="0.25">
      <c r="A33" s="8">
        <v>43863</v>
      </c>
      <c r="B33" s="9" t="s">
        <v>48</v>
      </c>
      <c r="C33" s="9" t="s">
        <v>13</v>
      </c>
      <c r="D33" s="9">
        <v>1398</v>
      </c>
      <c r="E33" s="9" t="s">
        <v>14</v>
      </c>
      <c r="F33" s="12">
        <f>YEAR(Personal_Finance_Dataset[[#This Row],[Date]])</f>
        <v>2020</v>
      </c>
      <c r="G33">
        <f t="shared" si="0"/>
        <v>2020</v>
      </c>
    </row>
    <row r="34" spans="1:7" x14ac:dyDescent="0.25">
      <c r="A34" s="8">
        <v>43864</v>
      </c>
      <c r="B34" s="9" t="s">
        <v>49</v>
      </c>
      <c r="C34" s="9" t="s">
        <v>13</v>
      </c>
      <c r="D34" s="9">
        <v>3958</v>
      </c>
      <c r="E34" s="9" t="s">
        <v>14</v>
      </c>
      <c r="F34" s="12">
        <f>YEAR(Personal_Finance_Dataset[[#This Row],[Date]])</f>
        <v>2020</v>
      </c>
      <c r="G34">
        <f t="shared" si="0"/>
        <v>2020</v>
      </c>
    </row>
    <row r="35" spans="1:7" x14ac:dyDescent="0.25">
      <c r="A35" s="8">
        <v>43865</v>
      </c>
      <c r="B35" s="9" t="s">
        <v>50</v>
      </c>
      <c r="C35" s="9" t="s">
        <v>17</v>
      </c>
      <c r="D35" s="9">
        <v>769.42</v>
      </c>
      <c r="E35" s="9" t="s">
        <v>7</v>
      </c>
      <c r="F35" s="12">
        <f>YEAR(Personal_Finance_Dataset[[#This Row],[Date]])</f>
        <v>2020</v>
      </c>
      <c r="G35">
        <f t="shared" si="0"/>
        <v>2020</v>
      </c>
    </row>
    <row r="36" spans="1:7" x14ac:dyDescent="0.25">
      <c r="A36" s="8">
        <v>43866</v>
      </c>
      <c r="B36" s="9" t="s">
        <v>51</v>
      </c>
      <c r="C36" s="9" t="s">
        <v>35</v>
      </c>
      <c r="D36" s="9">
        <v>1942.45</v>
      </c>
      <c r="E36" s="9" t="s">
        <v>7</v>
      </c>
      <c r="F36" s="12">
        <f>YEAR(Personal_Finance_Dataset[[#This Row],[Date]])</f>
        <v>2020</v>
      </c>
      <c r="G36">
        <f t="shared" si="0"/>
        <v>2020</v>
      </c>
    </row>
    <row r="37" spans="1:7" x14ac:dyDescent="0.25">
      <c r="A37" s="8">
        <v>43867</v>
      </c>
      <c r="B37" s="9" t="s">
        <v>52</v>
      </c>
      <c r="C37" s="9" t="s">
        <v>6</v>
      </c>
      <c r="D37" s="9">
        <v>1363.76</v>
      </c>
      <c r="E37" s="9" t="s">
        <v>7</v>
      </c>
      <c r="F37" s="12">
        <f>YEAR(Personal_Finance_Dataset[[#This Row],[Date]])</f>
        <v>2020</v>
      </c>
      <c r="G37">
        <f t="shared" si="0"/>
        <v>2020</v>
      </c>
    </row>
    <row r="38" spans="1:7" x14ac:dyDescent="0.25">
      <c r="A38" s="8">
        <v>43868</v>
      </c>
      <c r="B38" s="9" t="s">
        <v>53</v>
      </c>
      <c r="C38" s="9" t="s">
        <v>20</v>
      </c>
      <c r="D38" s="9">
        <v>3286</v>
      </c>
      <c r="E38" s="9" t="s">
        <v>14</v>
      </c>
      <c r="F38" s="12">
        <f>YEAR(Personal_Finance_Dataset[[#This Row],[Date]])</f>
        <v>2020</v>
      </c>
      <c r="G38">
        <f t="shared" si="0"/>
        <v>2020</v>
      </c>
    </row>
    <row r="39" spans="1:7" x14ac:dyDescent="0.25">
      <c r="A39" s="8">
        <v>43869</v>
      </c>
      <c r="B39" s="9" t="s">
        <v>54</v>
      </c>
      <c r="C39" s="9" t="s">
        <v>20</v>
      </c>
      <c r="D39" s="9">
        <v>1795</v>
      </c>
      <c r="E39" s="9" t="s">
        <v>14</v>
      </c>
      <c r="F39" s="12">
        <f>YEAR(Personal_Finance_Dataset[[#This Row],[Date]])</f>
        <v>2020</v>
      </c>
      <c r="G39">
        <f t="shared" si="0"/>
        <v>2020</v>
      </c>
    </row>
    <row r="40" spans="1:7" x14ac:dyDescent="0.25">
      <c r="A40" s="8">
        <v>43870</v>
      </c>
      <c r="B40" s="9" t="s">
        <v>55</v>
      </c>
      <c r="C40" s="9" t="s">
        <v>35</v>
      </c>
      <c r="D40" s="9">
        <v>1944.06</v>
      </c>
      <c r="E40" s="9" t="s">
        <v>7</v>
      </c>
      <c r="F40" s="12">
        <f>YEAR(Personal_Finance_Dataset[[#This Row],[Date]])</f>
        <v>2020</v>
      </c>
      <c r="G40">
        <f t="shared" si="0"/>
        <v>2020</v>
      </c>
    </row>
    <row r="41" spans="1:7" x14ac:dyDescent="0.25">
      <c r="A41" s="8">
        <v>43871</v>
      </c>
      <c r="B41" s="9" t="s">
        <v>56</v>
      </c>
      <c r="C41" s="9" t="s">
        <v>11</v>
      </c>
      <c r="D41" s="9">
        <v>1742.33</v>
      </c>
      <c r="E41" s="9" t="s">
        <v>7</v>
      </c>
      <c r="F41" s="12">
        <f>YEAR(Personal_Finance_Dataset[[#This Row],[Date]])</f>
        <v>2020</v>
      </c>
      <c r="G41">
        <f t="shared" si="0"/>
        <v>2020</v>
      </c>
    </row>
    <row r="42" spans="1:7" x14ac:dyDescent="0.25">
      <c r="A42" s="8">
        <v>43872</v>
      </c>
      <c r="B42" s="9" t="s">
        <v>57</v>
      </c>
      <c r="C42" s="9" t="s">
        <v>22</v>
      </c>
      <c r="D42" s="9">
        <v>314.14999999999998</v>
      </c>
      <c r="E42" s="9" t="s">
        <v>7</v>
      </c>
      <c r="F42" s="12">
        <f>YEAR(Personal_Finance_Dataset[[#This Row],[Date]])</f>
        <v>2020</v>
      </c>
      <c r="G42">
        <f t="shared" si="0"/>
        <v>2020</v>
      </c>
    </row>
    <row r="43" spans="1:7" x14ac:dyDescent="0.25">
      <c r="A43" s="8">
        <v>43873</v>
      </c>
      <c r="B43" s="9" t="s">
        <v>58</v>
      </c>
      <c r="C43" s="9" t="s">
        <v>6</v>
      </c>
      <c r="D43" s="9">
        <v>1201.9000000000001</v>
      </c>
      <c r="E43" s="9" t="s">
        <v>7</v>
      </c>
      <c r="F43" s="12">
        <f>YEAR(Personal_Finance_Dataset[[#This Row],[Date]])</f>
        <v>2020</v>
      </c>
      <c r="G43">
        <f t="shared" si="0"/>
        <v>2020</v>
      </c>
    </row>
    <row r="44" spans="1:7" x14ac:dyDescent="0.25">
      <c r="A44" s="8">
        <v>43874</v>
      </c>
      <c r="B44" s="9" t="s">
        <v>59</v>
      </c>
      <c r="C44" s="9" t="s">
        <v>11</v>
      </c>
      <c r="D44" s="9">
        <v>1858.91</v>
      </c>
      <c r="E44" s="9" t="s">
        <v>7</v>
      </c>
      <c r="F44" s="12">
        <f>YEAR(Personal_Finance_Dataset[[#This Row],[Date]])</f>
        <v>2020</v>
      </c>
      <c r="G44">
        <f t="shared" si="0"/>
        <v>2020</v>
      </c>
    </row>
    <row r="45" spans="1:7" x14ac:dyDescent="0.25">
      <c r="A45" s="8">
        <v>43875</v>
      </c>
      <c r="B45" s="9" t="s">
        <v>60</v>
      </c>
      <c r="C45" s="9" t="s">
        <v>35</v>
      </c>
      <c r="D45" s="9">
        <v>486.51</v>
      </c>
      <c r="E45" s="9" t="s">
        <v>7</v>
      </c>
      <c r="F45" s="12">
        <f>YEAR(Personal_Finance_Dataset[[#This Row],[Date]])</f>
        <v>2020</v>
      </c>
      <c r="G45">
        <f t="shared" si="0"/>
        <v>2020</v>
      </c>
    </row>
    <row r="46" spans="1:7" x14ac:dyDescent="0.25">
      <c r="A46" s="8">
        <v>43876</v>
      </c>
      <c r="B46" s="9" t="s">
        <v>61</v>
      </c>
      <c r="C46" s="9" t="s">
        <v>11</v>
      </c>
      <c r="D46" s="9">
        <v>180.45</v>
      </c>
      <c r="E46" s="9" t="s">
        <v>7</v>
      </c>
      <c r="F46" s="12">
        <f>YEAR(Personal_Finance_Dataset[[#This Row],[Date]])</f>
        <v>2020</v>
      </c>
      <c r="G46">
        <f t="shared" si="0"/>
        <v>2020</v>
      </c>
    </row>
    <row r="47" spans="1:7" x14ac:dyDescent="0.25">
      <c r="A47" s="8">
        <v>43877</v>
      </c>
      <c r="B47" s="9" t="s">
        <v>62</v>
      </c>
      <c r="C47" s="9" t="s">
        <v>11</v>
      </c>
      <c r="D47" s="9">
        <v>1956.19</v>
      </c>
      <c r="E47" s="9" t="s">
        <v>7</v>
      </c>
      <c r="F47" s="12">
        <f>YEAR(Personal_Finance_Dataset[[#This Row],[Date]])</f>
        <v>2020</v>
      </c>
      <c r="G47">
        <f t="shared" si="0"/>
        <v>2020</v>
      </c>
    </row>
    <row r="48" spans="1:7" x14ac:dyDescent="0.25">
      <c r="A48" s="8">
        <v>43878</v>
      </c>
      <c r="B48" s="9" t="s">
        <v>63</v>
      </c>
      <c r="C48" s="9" t="s">
        <v>9</v>
      </c>
      <c r="D48" s="9">
        <v>265.5</v>
      </c>
      <c r="E48" s="9" t="s">
        <v>7</v>
      </c>
      <c r="F48" s="12">
        <f>YEAR(Personal_Finance_Dataset[[#This Row],[Date]])</f>
        <v>2020</v>
      </c>
      <c r="G48">
        <f t="shared" si="0"/>
        <v>2020</v>
      </c>
    </row>
    <row r="49" spans="1:7" x14ac:dyDescent="0.25">
      <c r="A49" s="8">
        <v>43879</v>
      </c>
      <c r="B49" s="9" t="s">
        <v>64</v>
      </c>
      <c r="C49" s="9" t="s">
        <v>9</v>
      </c>
      <c r="D49" s="9">
        <v>537.46</v>
      </c>
      <c r="E49" s="9" t="s">
        <v>7</v>
      </c>
      <c r="F49" s="12">
        <f>YEAR(Personal_Finance_Dataset[[#This Row],[Date]])</f>
        <v>2020</v>
      </c>
      <c r="G49">
        <f t="shared" si="0"/>
        <v>2020</v>
      </c>
    </row>
    <row r="50" spans="1:7" x14ac:dyDescent="0.25">
      <c r="A50" s="8">
        <v>43880</v>
      </c>
      <c r="B50" s="9" t="s">
        <v>65</v>
      </c>
      <c r="C50" s="9" t="s">
        <v>17</v>
      </c>
      <c r="D50" s="9">
        <v>1929.08</v>
      </c>
      <c r="E50" s="9" t="s">
        <v>7</v>
      </c>
      <c r="F50" s="12">
        <f>YEAR(Personal_Finance_Dataset[[#This Row],[Date]])</f>
        <v>2020</v>
      </c>
      <c r="G50">
        <f t="shared" si="0"/>
        <v>2020</v>
      </c>
    </row>
    <row r="51" spans="1:7" x14ac:dyDescent="0.25">
      <c r="A51" s="8">
        <v>43881</v>
      </c>
      <c r="B51" s="9" t="s">
        <v>66</v>
      </c>
      <c r="C51" s="9" t="s">
        <v>22</v>
      </c>
      <c r="D51" s="9">
        <v>1428.77</v>
      </c>
      <c r="E51" s="9" t="s">
        <v>7</v>
      </c>
      <c r="F51" s="12">
        <f>YEAR(Personal_Finance_Dataset[[#This Row],[Date]])</f>
        <v>2020</v>
      </c>
      <c r="G51">
        <f t="shared" si="0"/>
        <v>2020</v>
      </c>
    </row>
    <row r="52" spans="1:7" x14ac:dyDescent="0.25">
      <c r="A52" s="8">
        <v>43882</v>
      </c>
      <c r="B52" s="9" t="s">
        <v>67</v>
      </c>
      <c r="C52" s="9" t="s">
        <v>25</v>
      </c>
      <c r="D52" s="9">
        <v>881.82</v>
      </c>
      <c r="E52" s="9" t="s">
        <v>7</v>
      </c>
      <c r="F52" s="12">
        <f>YEAR(Personal_Finance_Dataset[[#This Row],[Date]])</f>
        <v>2020</v>
      </c>
      <c r="G52">
        <f t="shared" si="0"/>
        <v>2020</v>
      </c>
    </row>
    <row r="53" spans="1:7" x14ac:dyDescent="0.25">
      <c r="A53" s="8">
        <v>43883</v>
      </c>
      <c r="B53" s="9" t="s">
        <v>68</v>
      </c>
      <c r="C53" s="9" t="s">
        <v>11</v>
      </c>
      <c r="D53" s="9">
        <v>503.33</v>
      </c>
      <c r="E53" s="9" t="s">
        <v>7</v>
      </c>
      <c r="F53" s="12">
        <f>YEAR(Personal_Finance_Dataset[[#This Row],[Date]])</f>
        <v>2020</v>
      </c>
      <c r="G53">
        <f t="shared" si="0"/>
        <v>2020</v>
      </c>
    </row>
    <row r="54" spans="1:7" x14ac:dyDescent="0.25">
      <c r="A54" s="8">
        <v>43884</v>
      </c>
      <c r="B54" s="9" t="s">
        <v>69</v>
      </c>
      <c r="C54" s="9" t="s">
        <v>13</v>
      </c>
      <c r="D54" s="9">
        <v>2385</v>
      </c>
      <c r="E54" s="9" t="s">
        <v>14</v>
      </c>
      <c r="F54" s="12">
        <f>YEAR(Personal_Finance_Dataset[[#This Row],[Date]])</f>
        <v>2020</v>
      </c>
      <c r="G54">
        <f t="shared" si="0"/>
        <v>2020</v>
      </c>
    </row>
    <row r="55" spans="1:7" x14ac:dyDescent="0.25">
      <c r="A55" s="8">
        <v>43885</v>
      </c>
      <c r="B55" s="9" t="s">
        <v>70</v>
      </c>
      <c r="C55" s="9" t="s">
        <v>6</v>
      </c>
      <c r="D55" s="9">
        <v>151.28</v>
      </c>
      <c r="E55" s="9" t="s">
        <v>7</v>
      </c>
      <c r="F55" s="12">
        <f>YEAR(Personal_Finance_Dataset[[#This Row],[Date]])</f>
        <v>2020</v>
      </c>
      <c r="G55">
        <f t="shared" si="0"/>
        <v>2020</v>
      </c>
    </row>
    <row r="56" spans="1:7" x14ac:dyDescent="0.25">
      <c r="A56" s="8">
        <v>43886</v>
      </c>
      <c r="B56" s="9" t="s">
        <v>71</v>
      </c>
      <c r="C56" s="9" t="s">
        <v>22</v>
      </c>
      <c r="D56" s="9">
        <v>144.13</v>
      </c>
      <c r="E56" s="9" t="s">
        <v>7</v>
      </c>
      <c r="F56" s="12">
        <f>YEAR(Personal_Finance_Dataset[[#This Row],[Date]])</f>
        <v>2020</v>
      </c>
      <c r="G56">
        <f t="shared" si="0"/>
        <v>2020</v>
      </c>
    </row>
    <row r="57" spans="1:7" x14ac:dyDescent="0.25">
      <c r="A57" s="8">
        <v>43887</v>
      </c>
      <c r="B57" s="9" t="s">
        <v>72</v>
      </c>
      <c r="C57" s="9" t="s">
        <v>20</v>
      </c>
      <c r="D57" s="9">
        <v>1080</v>
      </c>
      <c r="E57" s="9" t="s">
        <v>14</v>
      </c>
      <c r="F57" s="12">
        <f>YEAR(Personal_Finance_Dataset[[#This Row],[Date]])</f>
        <v>2020</v>
      </c>
      <c r="G57">
        <f t="shared" si="0"/>
        <v>2020</v>
      </c>
    </row>
    <row r="58" spans="1:7" x14ac:dyDescent="0.25">
      <c r="A58" s="8">
        <v>43888</v>
      </c>
      <c r="B58" s="9" t="s">
        <v>73</v>
      </c>
      <c r="C58" s="9" t="s">
        <v>35</v>
      </c>
      <c r="D58" s="9">
        <v>1341.27</v>
      </c>
      <c r="E58" s="9" t="s">
        <v>7</v>
      </c>
      <c r="F58" s="12">
        <f>YEAR(Personal_Finance_Dataset[[#This Row],[Date]])</f>
        <v>2020</v>
      </c>
      <c r="G58">
        <f t="shared" si="0"/>
        <v>2020</v>
      </c>
    </row>
    <row r="59" spans="1:7" x14ac:dyDescent="0.25">
      <c r="A59" s="8">
        <v>43889</v>
      </c>
      <c r="B59" s="9" t="s">
        <v>74</v>
      </c>
      <c r="C59" s="9" t="s">
        <v>9</v>
      </c>
      <c r="D59" s="9">
        <v>1449.47</v>
      </c>
      <c r="E59" s="9" t="s">
        <v>7</v>
      </c>
      <c r="F59" s="12">
        <f>YEAR(Personal_Finance_Dataset[[#This Row],[Date]])</f>
        <v>2020</v>
      </c>
      <c r="G59">
        <f t="shared" si="0"/>
        <v>2020</v>
      </c>
    </row>
    <row r="60" spans="1:7" x14ac:dyDescent="0.25">
      <c r="A60" s="8">
        <v>43890</v>
      </c>
      <c r="B60" s="9" t="s">
        <v>75</v>
      </c>
      <c r="C60" s="9" t="s">
        <v>27</v>
      </c>
      <c r="D60" s="9">
        <v>493.56</v>
      </c>
      <c r="E60" s="9" t="s">
        <v>7</v>
      </c>
      <c r="F60" s="12">
        <f>YEAR(Personal_Finance_Dataset[[#This Row],[Date]])</f>
        <v>2020</v>
      </c>
      <c r="G60">
        <f t="shared" si="0"/>
        <v>2020</v>
      </c>
    </row>
    <row r="61" spans="1:7" x14ac:dyDescent="0.25">
      <c r="A61" s="8">
        <v>43891</v>
      </c>
      <c r="B61" s="9" t="s">
        <v>76</v>
      </c>
      <c r="C61" s="9" t="s">
        <v>17</v>
      </c>
      <c r="D61" s="9">
        <v>388.92</v>
      </c>
      <c r="E61" s="9" t="s">
        <v>7</v>
      </c>
      <c r="F61" s="12">
        <f>YEAR(Personal_Finance_Dataset[[#This Row],[Date]])</f>
        <v>2020</v>
      </c>
      <c r="G61">
        <f t="shared" si="0"/>
        <v>2020</v>
      </c>
    </row>
    <row r="62" spans="1:7" x14ac:dyDescent="0.25">
      <c r="A62" s="8">
        <v>43892</v>
      </c>
      <c r="B62" s="9" t="s">
        <v>77</v>
      </c>
      <c r="C62" s="9" t="s">
        <v>20</v>
      </c>
      <c r="D62" s="9">
        <v>3402</v>
      </c>
      <c r="E62" s="9" t="s">
        <v>14</v>
      </c>
      <c r="F62" s="12">
        <f>YEAR(Personal_Finance_Dataset[[#This Row],[Date]])</f>
        <v>2020</v>
      </c>
      <c r="G62">
        <f t="shared" si="0"/>
        <v>2020</v>
      </c>
    </row>
    <row r="63" spans="1:7" x14ac:dyDescent="0.25">
      <c r="A63" s="8">
        <v>43893</v>
      </c>
      <c r="B63" s="9" t="s">
        <v>78</v>
      </c>
      <c r="C63" s="9" t="s">
        <v>27</v>
      </c>
      <c r="D63" s="9">
        <v>1729.04</v>
      </c>
      <c r="E63" s="9" t="s">
        <v>7</v>
      </c>
      <c r="F63" s="12">
        <f>YEAR(Personal_Finance_Dataset[[#This Row],[Date]])</f>
        <v>2020</v>
      </c>
      <c r="G63">
        <f t="shared" si="0"/>
        <v>2020</v>
      </c>
    </row>
    <row r="64" spans="1:7" x14ac:dyDescent="0.25">
      <c r="A64" s="8">
        <v>43894</v>
      </c>
      <c r="B64" s="9" t="s">
        <v>79</v>
      </c>
      <c r="C64" s="9" t="s">
        <v>13</v>
      </c>
      <c r="D64" s="9">
        <v>996</v>
      </c>
      <c r="E64" s="9" t="s">
        <v>14</v>
      </c>
      <c r="F64" s="12">
        <f>YEAR(Personal_Finance_Dataset[[#This Row],[Date]])</f>
        <v>2020</v>
      </c>
      <c r="G64">
        <f t="shared" si="0"/>
        <v>2020</v>
      </c>
    </row>
    <row r="65" spans="1:7" x14ac:dyDescent="0.25">
      <c r="A65" s="8">
        <v>43895</v>
      </c>
      <c r="B65" s="9" t="s">
        <v>80</v>
      </c>
      <c r="C65" s="9" t="s">
        <v>25</v>
      </c>
      <c r="D65" s="9">
        <v>1603.18</v>
      </c>
      <c r="E65" s="9" t="s">
        <v>7</v>
      </c>
      <c r="F65" s="12">
        <f>YEAR(Personal_Finance_Dataset[[#This Row],[Date]])</f>
        <v>2020</v>
      </c>
      <c r="G65">
        <f t="shared" si="0"/>
        <v>2020</v>
      </c>
    </row>
    <row r="66" spans="1:7" x14ac:dyDescent="0.25">
      <c r="A66" s="8">
        <v>43896</v>
      </c>
      <c r="B66" s="9" t="s">
        <v>81</v>
      </c>
      <c r="C66" s="9" t="s">
        <v>13</v>
      </c>
      <c r="D66" s="9">
        <v>2058</v>
      </c>
      <c r="E66" s="9" t="s">
        <v>14</v>
      </c>
      <c r="F66" s="12">
        <f>YEAR(Personal_Finance_Dataset[[#This Row],[Date]])</f>
        <v>2020</v>
      </c>
      <c r="G66">
        <f t="shared" ref="G66:G129" si="1">YEAR(A66)</f>
        <v>2020</v>
      </c>
    </row>
    <row r="67" spans="1:7" x14ac:dyDescent="0.25">
      <c r="A67" s="8">
        <v>43897</v>
      </c>
      <c r="B67" s="9" t="s">
        <v>82</v>
      </c>
      <c r="C67" s="9" t="s">
        <v>9</v>
      </c>
      <c r="D67" s="9">
        <v>849.54</v>
      </c>
      <c r="E67" s="9" t="s">
        <v>7</v>
      </c>
      <c r="F67" s="12">
        <f>YEAR(Personal_Finance_Dataset[[#This Row],[Date]])</f>
        <v>2020</v>
      </c>
      <c r="G67">
        <f t="shared" si="1"/>
        <v>2020</v>
      </c>
    </row>
    <row r="68" spans="1:7" x14ac:dyDescent="0.25">
      <c r="A68" s="8">
        <v>43898</v>
      </c>
      <c r="B68" s="9" t="s">
        <v>83</v>
      </c>
      <c r="C68" s="9" t="s">
        <v>22</v>
      </c>
      <c r="D68" s="9">
        <v>1750.23</v>
      </c>
      <c r="E68" s="9" t="s">
        <v>7</v>
      </c>
      <c r="F68" s="12">
        <f>YEAR(Personal_Finance_Dataset[[#This Row],[Date]])</f>
        <v>2020</v>
      </c>
      <c r="G68">
        <f t="shared" si="1"/>
        <v>2020</v>
      </c>
    </row>
    <row r="69" spans="1:7" x14ac:dyDescent="0.25">
      <c r="A69" s="8">
        <v>43899</v>
      </c>
      <c r="B69" s="9" t="s">
        <v>84</v>
      </c>
      <c r="C69" s="9" t="s">
        <v>13</v>
      </c>
      <c r="D69" s="9">
        <v>914</v>
      </c>
      <c r="E69" s="9" t="s">
        <v>14</v>
      </c>
      <c r="F69" s="12">
        <f>YEAR(Personal_Finance_Dataset[[#This Row],[Date]])</f>
        <v>2020</v>
      </c>
      <c r="G69">
        <f t="shared" si="1"/>
        <v>2020</v>
      </c>
    </row>
    <row r="70" spans="1:7" x14ac:dyDescent="0.25">
      <c r="A70" s="8">
        <v>43900</v>
      </c>
      <c r="B70" s="9" t="s">
        <v>85</v>
      </c>
      <c r="C70" s="9" t="s">
        <v>6</v>
      </c>
      <c r="D70" s="9">
        <v>1938.3</v>
      </c>
      <c r="E70" s="9" t="s">
        <v>7</v>
      </c>
      <c r="F70" s="12">
        <f>YEAR(Personal_Finance_Dataset[[#This Row],[Date]])</f>
        <v>2020</v>
      </c>
      <c r="G70">
        <f t="shared" si="1"/>
        <v>2020</v>
      </c>
    </row>
    <row r="71" spans="1:7" x14ac:dyDescent="0.25">
      <c r="A71" s="8">
        <v>43901</v>
      </c>
      <c r="B71" s="9" t="s">
        <v>86</v>
      </c>
      <c r="C71" s="9" t="s">
        <v>22</v>
      </c>
      <c r="D71" s="9">
        <v>340.96</v>
      </c>
      <c r="E71" s="9" t="s">
        <v>7</v>
      </c>
      <c r="F71" s="12">
        <f>YEAR(Personal_Finance_Dataset[[#This Row],[Date]])</f>
        <v>2020</v>
      </c>
      <c r="G71">
        <f t="shared" si="1"/>
        <v>2020</v>
      </c>
    </row>
    <row r="72" spans="1:7" x14ac:dyDescent="0.25">
      <c r="A72" s="8">
        <v>43902</v>
      </c>
      <c r="B72" s="9" t="s">
        <v>87</v>
      </c>
      <c r="C72" s="9" t="s">
        <v>22</v>
      </c>
      <c r="D72" s="9">
        <v>1730.65</v>
      </c>
      <c r="E72" s="9" t="s">
        <v>7</v>
      </c>
      <c r="F72" s="12">
        <f>YEAR(Personal_Finance_Dataset[[#This Row],[Date]])</f>
        <v>2020</v>
      </c>
      <c r="G72">
        <f t="shared" si="1"/>
        <v>2020</v>
      </c>
    </row>
    <row r="73" spans="1:7" x14ac:dyDescent="0.25">
      <c r="A73" s="8">
        <v>43903</v>
      </c>
      <c r="B73" s="9" t="s">
        <v>88</v>
      </c>
      <c r="C73" s="9" t="s">
        <v>9</v>
      </c>
      <c r="D73" s="9">
        <v>764.16</v>
      </c>
      <c r="E73" s="9" t="s">
        <v>7</v>
      </c>
      <c r="F73" s="12">
        <f>YEAR(Personal_Finance_Dataset[[#This Row],[Date]])</f>
        <v>2020</v>
      </c>
      <c r="G73">
        <f t="shared" si="1"/>
        <v>2020</v>
      </c>
    </row>
    <row r="74" spans="1:7" x14ac:dyDescent="0.25">
      <c r="A74" s="8">
        <v>43904</v>
      </c>
      <c r="B74" s="9" t="s">
        <v>89</v>
      </c>
      <c r="C74" s="9" t="s">
        <v>35</v>
      </c>
      <c r="D74" s="9">
        <v>1853.77</v>
      </c>
      <c r="E74" s="9" t="s">
        <v>7</v>
      </c>
      <c r="F74" s="12">
        <f>YEAR(Personal_Finance_Dataset[[#This Row],[Date]])</f>
        <v>2020</v>
      </c>
      <c r="G74">
        <f t="shared" si="1"/>
        <v>2020</v>
      </c>
    </row>
    <row r="75" spans="1:7" x14ac:dyDescent="0.25">
      <c r="A75" s="8">
        <v>43905</v>
      </c>
      <c r="B75" s="9" t="s">
        <v>90</v>
      </c>
      <c r="C75" s="9" t="s">
        <v>35</v>
      </c>
      <c r="D75" s="9">
        <v>851.78</v>
      </c>
      <c r="E75" s="9" t="s">
        <v>7</v>
      </c>
      <c r="F75" s="12">
        <f>YEAR(Personal_Finance_Dataset[[#This Row],[Date]])</f>
        <v>2020</v>
      </c>
      <c r="G75">
        <f t="shared" si="1"/>
        <v>2020</v>
      </c>
    </row>
    <row r="76" spans="1:7" x14ac:dyDescent="0.25">
      <c r="A76" s="8">
        <v>43906</v>
      </c>
      <c r="B76" s="9" t="s">
        <v>91</v>
      </c>
      <c r="C76" s="9" t="s">
        <v>27</v>
      </c>
      <c r="D76" s="9">
        <v>318.05</v>
      </c>
      <c r="E76" s="9" t="s">
        <v>7</v>
      </c>
      <c r="F76" s="12">
        <f>YEAR(Personal_Finance_Dataset[[#This Row],[Date]])</f>
        <v>2020</v>
      </c>
      <c r="G76">
        <f t="shared" si="1"/>
        <v>2020</v>
      </c>
    </row>
    <row r="77" spans="1:7" x14ac:dyDescent="0.25">
      <c r="A77" s="8">
        <v>43907</v>
      </c>
      <c r="B77" s="9" t="s">
        <v>92</v>
      </c>
      <c r="C77" s="9" t="s">
        <v>6</v>
      </c>
      <c r="D77" s="9">
        <v>1162.57</v>
      </c>
      <c r="E77" s="9" t="s">
        <v>7</v>
      </c>
      <c r="F77" s="12">
        <f>YEAR(Personal_Finance_Dataset[[#This Row],[Date]])</f>
        <v>2020</v>
      </c>
      <c r="G77">
        <f t="shared" si="1"/>
        <v>2020</v>
      </c>
    </row>
    <row r="78" spans="1:7" x14ac:dyDescent="0.25">
      <c r="A78" s="8">
        <v>43908</v>
      </c>
      <c r="B78" s="9" t="s">
        <v>93</v>
      </c>
      <c r="C78" s="9" t="s">
        <v>25</v>
      </c>
      <c r="D78" s="9">
        <v>123.76</v>
      </c>
      <c r="E78" s="9" t="s">
        <v>7</v>
      </c>
      <c r="F78" s="12">
        <f>YEAR(Personal_Finance_Dataset[[#This Row],[Date]])</f>
        <v>2020</v>
      </c>
      <c r="G78">
        <f t="shared" si="1"/>
        <v>2020</v>
      </c>
    </row>
    <row r="79" spans="1:7" x14ac:dyDescent="0.25">
      <c r="A79" s="8">
        <v>43909</v>
      </c>
      <c r="B79" s="9" t="s">
        <v>94</v>
      </c>
      <c r="C79" s="9" t="s">
        <v>9</v>
      </c>
      <c r="D79" s="9">
        <v>123.19</v>
      </c>
      <c r="E79" s="9" t="s">
        <v>7</v>
      </c>
      <c r="F79" s="12">
        <f>YEAR(Personal_Finance_Dataset[[#This Row],[Date]])</f>
        <v>2020</v>
      </c>
      <c r="G79">
        <f t="shared" si="1"/>
        <v>2020</v>
      </c>
    </row>
    <row r="80" spans="1:7" x14ac:dyDescent="0.25">
      <c r="A80" s="8">
        <v>43910</v>
      </c>
      <c r="B80" s="9" t="s">
        <v>95</v>
      </c>
      <c r="C80" s="9" t="s">
        <v>9</v>
      </c>
      <c r="D80" s="9">
        <v>146.36000000000001</v>
      </c>
      <c r="E80" s="9" t="s">
        <v>7</v>
      </c>
      <c r="F80" s="12">
        <f>YEAR(Personal_Finance_Dataset[[#This Row],[Date]])</f>
        <v>2020</v>
      </c>
      <c r="G80">
        <f t="shared" si="1"/>
        <v>2020</v>
      </c>
    </row>
    <row r="81" spans="1:7" x14ac:dyDescent="0.25">
      <c r="A81" s="8">
        <v>43911</v>
      </c>
      <c r="B81" s="9" t="s">
        <v>96</v>
      </c>
      <c r="C81" s="9" t="s">
        <v>13</v>
      </c>
      <c r="D81" s="9">
        <v>3807</v>
      </c>
      <c r="E81" s="9" t="s">
        <v>14</v>
      </c>
      <c r="F81" s="12">
        <f>YEAR(Personal_Finance_Dataset[[#This Row],[Date]])</f>
        <v>2020</v>
      </c>
      <c r="G81">
        <f t="shared" si="1"/>
        <v>2020</v>
      </c>
    </row>
    <row r="82" spans="1:7" x14ac:dyDescent="0.25">
      <c r="A82" s="8">
        <v>43912</v>
      </c>
      <c r="B82" s="9" t="s">
        <v>97</v>
      </c>
      <c r="C82" s="9" t="s">
        <v>13</v>
      </c>
      <c r="D82" s="9">
        <v>825</v>
      </c>
      <c r="E82" s="9" t="s">
        <v>14</v>
      </c>
      <c r="F82" s="12">
        <f>YEAR(Personal_Finance_Dataset[[#This Row],[Date]])</f>
        <v>2020</v>
      </c>
      <c r="G82">
        <f t="shared" si="1"/>
        <v>2020</v>
      </c>
    </row>
    <row r="83" spans="1:7" x14ac:dyDescent="0.25">
      <c r="A83" s="8">
        <v>43913</v>
      </c>
      <c r="B83" s="9" t="s">
        <v>98</v>
      </c>
      <c r="C83" s="9" t="s">
        <v>17</v>
      </c>
      <c r="D83" s="9">
        <v>1318.17</v>
      </c>
      <c r="E83" s="9" t="s">
        <v>7</v>
      </c>
      <c r="F83" s="12">
        <f>YEAR(Personal_Finance_Dataset[[#This Row],[Date]])</f>
        <v>2020</v>
      </c>
      <c r="G83">
        <f t="shared" si="1"/>
        <v>2020</v>
      </c>
    </row>
    <row r="84" spans="1:7" x14ac:dyDescent="0.25">
      <c r="A84" s="8">
        <v>43914</v>
      </c>
      <c r="B84" s="9" t="s">
        <v>99</v>
      </c>
      <c r="C84" s="9" t="s">
        <v>25</v>
      </c>
      <c r="D84" s="9">
        <v>1870.07</v>
      </c>
      <c r="E84" s="9" t="s">
        <v>7</v>
      </c>
      <c r="F84" s="12">
        <f>YEAR(Personal_Finance_Dataset[[#This Row],[Date]])</f>
        <v>2020</v>
      </c>
      <c r="G84">
        <f t="shared" si="1"/>
        <v>2020</v>
      </c>
    </row>
    <row r="85" spans="1:7" x14ac:dyDescent="0.25">
      <c r="A85" s="8">
        <v>43915</v>
      </c>
      <c r="B85" s="9" t="s">
        <v>100</v>
      </c>
      <c r="C85" s="9" t="s">
        <v>25</v>
      </c>
      <c r="D85" s="9">
        <v>484.99</v>
      </c>
      <c r="E85" s="9" t="s">
        <v>7</v>
      </c>
      <c r="F85" s="12">
        <f>YEAR(Personal_Finance_Dataset[[#This Row],[Date]])</f>
        <v>2020</v>
      </c>
      <c r="G85">
        <f t="shared" si="1"/>
        <v>2020</v>
      </c>
    </row>
    <row r="86" spans="1:7" x14ac:dyDescent="0.25">
      <c r="A86" s="8">
        <v>43916</v>
      </c>
      <c r="B86" s="9" t="s">
        <v>101</v>
      </c>
      <c r="C86" s="9" t="s">
        <v>35</v>
      </c>
      <c r="D86" s="9">
        <v>919.88</v>
      </c>
      <c r="E86" s="9" t="s">
        <v>7</v>
      </c>
      <c r="F86" s="12">
        <f>YEAR(Personal_Finance_Dataset[[#This Row],[Date]])</f>
        <v>2020</v>
      </c>
      <c r="G86">
        <f t="shared" si="1"/>
        <v>2020</v>
      </c>
    </row>
    <row r="87" spans="1:7" x14ac:dyDescent="0.25">
      <c r="A87" s="8">
        <v>43917</v>
      </c>
      <c r="B87" s="9" t="s">
        <v>102</v>
      </c>
      <c r="C87" s="9" t="s">
        <v>11</v>
      </c>
      <c r="D87" s="9">
        <v>28.54</v>
      </c>
      <c r="E87" s="9" t="s">
        <v>7</v>
      </c>
      <c r="F87" s="12">
        <f>YEAR(Personal_Finance_Dataset[[#This Row],[Date]])</f>
        <v>2020</v>
      </c>
      <c r="G87">
        <f t="shared" si="1"/>
        <v>2020</v>
      </c>
    </row>
    <row r="88" spans="1:7" x14ac:dyDescent="0.25">
      <c r="A88" s="8">
        <v>43918</v>
      </c>
      <c r="B88" s="9" t="s">
        <v>103</v>
      </c>
      <c r="C88" s="9" t="s">
        <v>11</v>
      </c>
      <c r="D88" s="9">
        <v>155.79</v>
      </c>
      <c r="E88" s="9" t="s">
        <v>7</v>
      </c>
      <c r="F88" s="12">
        <f>YEAR(Personal_Finance_Dataset[[#This Row],[Date]])</f>
        <v>2020</v>
      </c>
      <c r="G88">
        <f t="shared" si="1"/>
        <v>2020</v>
      </c>
    </row>
    <row r="89" spans="1:7" x14ac:dyDescent="0.25">
      <c r="A89" s="8">
        <v>43919</v>
      </c>
      <c r="B89" s="9" t="s">
        <v>104</v>
      </c>
      <c r="C89" s="9" t="s">
        <v>35</v>
      </c>
      <c r="D89" s="9">
        <v>273.58999999999997</v>
      </c>
      <c r="E89" s="9" t="s">
        <v>7</v>
      </c>
      <c r="F89" s="12">
        <f>YEAR(Personal_Finance_Dataset[[#This Row],[Date]])</f>
        <v>2020</v>
      </c>
      <c r="G89">
        <f t="shared" si="1"/>
        <v>2020</v>
      </c>
    </row>
    <row r="90" spans="1:7" x14ac:dyDescent="0.25">
      <c r="A90" s="8">
        <v>43920</v>
      </c>
      <c r="B90" s="9" t="s">
        <v>105</v>
      </c>
      <c r="C90" s="9" t="s">
        <v>11</v>
      </c>
      <c r="D90" s="9">
        <v>1759.75</v>
      </c>
      <c r="E90" s="9" t="s">
        <v>7</v>
      </c>
      <c r="F90" s="12">
        <f>YEAR(Personal_Finance_Dataset[[#This Row],[Date]])</f>
        <v>2020</v>
      </c>
      <c r="G90">
        <f t="shared" si="1"/>
        <v>2020</v>
      </c>
    </row>
    <row r="91" spans="1:7" x14ac:dyDescent="0.25">
      <c r="A91" s="8">
        <v>43921</v>
      </c>
      <c r="B91" s="9" t="s">
        <v>106</v>
      </c>
      <c r="C91" s="9" t="s">
        <v>9</v>
      </c>
      <c r="D91" s="9">
        <v>881.99</v>
      </c>
      <c r="E91" s="9" t="s">
        <v>7</v>
      </c>
      <c r="F91" s="12">
        <f>YEAR(Personal_Finance_Dataset[[#This Row],[Date]])</f>
        <v>2020</v>
      </c>
      <c r="G91">
        <f t="shared" si="1"/>
        <v>2020</v>
      </c>
    </row>
    <row r="92" spans="1:7" x14ac:dyDescent="0.25">
      <c r="A92" s="8">
        <v>43922</v>
      </c>
      <c r="B92" s="9" t="s">
        <v>107</v>
      </c>
      <c r="C92" s="9" t="s">
        <v>35</v>
      </c>
      <c r="D92" s="9">
        <v>1227.24</v>
      </c>
      <c r="E92" s="9" t="s">
        <v>7</v>
      </c>
      <c r="F92" s="12">
        <f>YEAR(Personal_Finance_Dataset[[#This Row],[Date]])</f>
        <v>2020</v>
      </c>
      <c r="G92">
        <f t="shared" si="1"/>
        <v>2020</v>
      </c>
    </row>
    <row r="93" spans="1:7" x14ac:dyDescent="0.25">
      <c r="A93" s="8">
        <v>43923</v>
      </c>
      <c r="B93" s="9" t="s">
        <v>108</v>
      </c>
      <c r="C93" s="9" t="s">
        <v>6</v>
      </c>
      <c r="D93" s="9">
        <v>1339.05</v>
      </c>
      <c r="E93" s="9" t="s">
        <v>7</v>
      </c>
      <c r="F93" s="12">
        <f>YEAR(Personal_Finance_Dataset[[#This Row],[Date]])</f>
        <v>2020</v>
      </c>
      <c r="G93">
        <f t="shared" si="1"/>
        <v>2020</v>
      </c>
    </row>
    <row r="94" spans="1:7" x14ac:dyDescent="0.25">
      <c r="A94" s="8">
        <v>43924</v>
      </c>
      <c r="B94" s="9" t="s">
        <v>109</v>
      </c>
      <c r="C94" s="9" t="s">
        <v>11</v>
      </c>
      <c r="D94" s="9">
        <v>1878.47</v>
      </c>
      <c r="E94" s="9" t="s">
        <v>7</v>
      </c>
      <c r="F94" s="12">
        <f>YEAR(Personal_Finance_Dataset[[#This Row],[Date]])</f>
        <v>2020</v>
      </c>
      <c r="G94">
        <f t="shared" si="1"/>
        <v>2020</v>
      </c>
    </row>
    <row r="95" spans="1:7" x14ac:dyDescent="0.25">
      <c r="A95" s="8">
        <v>43925</v>
      </c>
      <c r="B95" s="9" t="s">
        <v>110</v>
      </c>
      <c r="C95" s="9" t="s">
        <v>13</v>
      </c>
      <c r="D95" s="9">
        <v>1376</v>
      </c>
      <c r="E95" s="9" t="s">
        <v>14</v>
      </c>
      <c r="F95" s="12">
        <f>YEAR(Personal_Finance_Dataset[[#This Row],[Date]])</f>
        <v>2020</v>
      </c>
      <c r="G95">
        <f t="shared" si="1"/>
        <v>2020</v>
      </c>
    </row>
    <row r="96" spans="1:7" x14ac:dyDescent="0.25">
      <c r="A96" s="8">
        <v>43926</v>
      </c>
      <c r="B96" s="9" t="s">
        <v>111</v>
      </c>
      <c r="C96" s="9" t="s">
        <v>9</v>
      </c>
      <c r="D96" s="9">
        <v>551.97</v>
      </c>
      <c r="E96" s="9" t="s">
        <v>7</v>
      </c>
      <c r="F96" s="12">
        <f>YEAR(Personal_Finance_Dataset[[#This Row],[Date]])</f>
        <v>2020</v>
      </c>
      <c r="G96">
        <f t="shared" si="1"/>
        <v>2020</v>
      </c>
    </row>
    <row r="97" spans="1:7" x14ac:dyDescent="0.25">
      <c r="A97" s="8">
        <v>43927</v>
      </c>
      <c r="B97" s="9" t="s">
        <v>112</v>
      </c>
      <c r="C97" s="9" t="s">
        <v>25</v>
      </c>
      <c r="D97" s="9">
        <v>415.16</v>
      </c>
      <c r="E97" s="9" t="s">
        <v>7</v>
      </c>
      <c r="F97" s="12">
        <f>YEAR(Personal_Finance_Dataset[[#This Row],[Date]])</f>
        <v>2020</v>
      </c>
      <c r="G97">
        <f t="shared" si="1"/>
        <v>2020</v>
      </c>
    </row>
    <row r="98" spans="1:7" x14ac:dyDescent="0.25">
      <c r="A98" s="8">
        <v>43928</v>
      </c>
      <c r="B98" s="9" t="s">
        <v>113</v>
      </c>
      <c r="C98" s="9" t="s">
        <v>35</v>
      </c>
      <c r="D98" s="9">
        <v>1015.76</v>
      </c>
      <c r="E98" s="9" t="s">
        <v>7</v>
      </c>
      <c r="F98" s="12">
        <f>YEAR(Personal_Finance_Dataset[[#This Row],[Date]])</f>
        <v>2020</v>
      </c>
      <c r="G98">
        <f t="shared" si="1"/>
        <v>2020</v>
      </c>
    </row>
    <row r="99" spans="1:7" x14ac:dyDescent="0.25">
      <c r="A99" s="8">
        <v>43929</v>
      </c>
      <c r="B99" s="9" t="s">
        <v>114</v>
      </c>
      <c r="C99" s="9" t="s">
        <v>6</v>
      </c>
      <c r="D99" s="9">
        <v>193.67</v>
      </c>
      <c r="E99" s="9" t="s">
        <v>7</v>
      </c>
      <c r="F99" s="12">
        <f>YEAR(Personal_Finance_Dataset[[#This Row],[Date]])</f>
        <v>2020</v>
      </c>
      <c r="G99">
        <f t="shared" si="1"/>
        <v>2020</v>
      </c>
    </row>
    <row r="100" spans="1:7" x14ac:dyDescent="0.25">
      <c r="A100" s="8">
        <v>43930</v>
      </c>
      <c r="B100" s="9" t="s">
        <v>115</v>
      </c>
      <c r="C100" s="9" t="s">
        <v>35</v>
      </c>
      <c r="D100" s="9">
        <v>97.73</v>
      </c>
      <c r="E100" s="9" t="s">
        <v>7</v>
      </c>
      <c r="F100" s="12">
        <f>YEAR(Personal_Finance_Dataset[[#This Row],[Date]])</f>
        <v>2020</v>
      </c>
      <c r="G100">
        <f t="shared" si="1"/>
        <v>2020</v>
      </c>
    </row>
    <row r="101" spans="1:7" x14ac:dyDescent="0.25">
      <c r="A101" s="8">
        <v>43931</v>
      </c>
      <c r="B101" s="9" t="s">
        <v>116</v>
      </c>
      <c r="C101" s="9" t="s">
        <v>9</v>
      </c>
      <c r="D101" s="9">
        <v>1277.8599999999999</v>
      </c>
      <c r="E101" s="9" t="s">
        <v>7</v>
      </c>
      <c r="F101" s="12">
        <f>YEAR(Personal_Finance_Dataset[[#This Row],[Date]])</f>
        <v>2020</v>
      </c>
      <c r="G101">
        <f t="shared" si="1"/>
        <v>2020</v>
      </c>
    </row>
    <row r="102" spans="1:7" x14ac:dyDescent="0.25">
      <c r="A102" s="8">
        <v>43932</v>
      </c>
      <c r="B102" s="9" t="s">
        <v>117</v>
      </c>
      <c r="C102" s="9" t="s">
        <v>27</v>
      </c>
      <c r="D102" s="9">
        <v>1107.8399999999999</v>
      </c>
      <c r="E102" s="9" t="s">
        <v>7</v>
      </c>
      <c r="F102" s="12">
        <f>YEAR(Personal_Finance_Dataset[[#This Row],[Date]])</f>
        <v>2020</v>
      </c>
      <c r="G102">
        <f t="shared" si="1"/>
        <v>2020</v>
      </c>
    </row>
    <row r="103" spans="1:7" x14ac:dyDescent="0.25">
      <c r="A103" s="8">
        <v>43933</v>
      </c>
      <c r="B103" s="9" t="s">
        <v>118</v>
      </c>
      <c r="C103" s="9" t="s">
        <v>6</v>
      </c>
      <c r="D103" s="9">
        <v>232.63</v>
      </c>
      <c r="E103" s="9" t="s">
        <v>7</v>
      </c>
      <c r="F103" s="12">
        <f>YEAR(Personal_Finance_Dataset[[#This Row],[Date]])</f>
        <v>2020</v>
      </c>
      <c r="G103">
        <f t="shared" si="1"/>
        <v>2020</v>
      </c>
    </row>
    <row r="104" spans="1:7" x14ac:dyDescent="0.25">
      <c r="A104" s="8">
        <v>43934</v>
      </c>
      <c r="B104" s="9" t="s">
        <v>119</v>
      </c>
      <c r="C104" s="9" t="s">
        <v>9</v>
      </c>
      <c r="D104" s="9">
        <v>1095.72</v>
      </c>
      <c r="E104" s="9" t="s">
        <v>7</v>
      </c>
      <c r="F104" s="12">
        <f>YEAR(Personal_Finance_Dataset[[#This Row],[Date]])</f>
        <v>2020</v>
      </c>
      <c r="G104">
        <f t="shared" si="1"/>
        <v>2020</v>
      </c>
    </row>
    <row r="105" spans="1:7" x14ac:dyDescent="0.25">
      <c r="A105" s="8">
        <v>43935</v>
      </c>
      <c r="B105" s="9" t="s">
        <v>120</v>
      </c>
      <c r="C105" s="9" t="s">
        <v>9</v>
      </c>
      <c r="D105" s="9">
        <v>865.28</v>
      </c>
      <c r="E105" s="9" t="s">
        <v>7</v>
      </c>
      <c r="F105" s="12">
        <f>YEAR(Personal_Finance_Dataset[[#This Row],[Date]])</f>
        <v>2020</v>
      </c>
      <c r="G105">
        <f t="shared" si="1"/>
        <v>2020</v>
      </c>
    </row>
    <row r="106" spans="1:7" x14ac:dyDescent="0.25">
      <c r="A106" s="8">
        <v>43936</v>
      </c>
      <c r="B106" s="9" t="s">
        <v>121</v>
      </c>
      <c r="C106" s="9" t="s">
        <v>20</v>
      </c>
      <c r="D106" s="9">
        <v>826</v>
      </c>
      <c r="E106" s="9" t="s">
        <v>14</v>
      </c>
      <c r="F106" s="12">
        <f>YEAR(Personal_Finance_Dataset[[#This Row],[Date]])</f>
        <v>2020</v>
      </c>
      <c r="G106">
        <f t="shared" si="1"/>
        <v>2020</v>
      </c>
    </row>
    <row r="107" spans="1:7" x14ac:dyDescent="0.25">
      <c r="A107" s="8">
        <v>43937</v>
      </c>
      <c r="B107" s="9" t="s">
        <v>122</v>
      </c>
      <c r="C107" s="9" t="s">
        <v>22</v>
      </c>
      <c r="D107" s="9">
        <v>1367.31</v>
      </c>
      <c r="E107" s="9" t="s">
        <v>7</v>
      </c>
      <c r="F107" s="12">
        <f>YEAR(Personal_Finance_Dataset[[#This Row],[Date]])</f>
        <v>2020</v>
      </c>
      <c r="G107">
        <f t="shared" si="1"/>
        <v>2020</v>
      </c>
    </row>
    <row r="108" spans="1:7" x14ac:dyDescent="0.25">
      <c r="A108" s="8">
        <v>43938</v>
      </c>
      <c r="B108" s="9" t="s">
        <v>123</v>
      </c>
      <c r="C108" s="9" t="s">
        <v>25</v>
      </c>
      <c r="D108" s="9">
        <v>1562.43</v>
      </c>
      <c r="E108" s="9" t="s">
        <v>7</v>
      </c>
      <c r="F108" s="12">
        <f>YEAR(Personal_Finance_Dataset[[#This Row],[Date]])</f>
        <v>2020</v>
      </c>
      <c r="G108">
        <f t="shared" si="1"/>
        <v>2020</v>
      </c>
    </row>
    <row r="109" spans="1:7" x14ac:dyDescent="0.25">
      <c r="A109" s="8">
        <v>43939</v>
      </c>
      <c r="B109" s="9" t="s">
        <v>124</v>
      </c>
      <c r="C109" s="9" t="s">
        <v>17</v>
      </c>
      <c r="D109" s="9">
        <v>1947.94</v>
      </c>
      <c r="E109" s="9" t="s">
        <v>7</v>
      </c>
      <c r="F109" s="12">
        <f>YEAR(Personal_Finance_Dataset[[#This Row],[Date]])</f>
        <v>2020</v>
      </c>
      <c r="G109">
        <f t="shared" si="1"/>
        <v>2020</v>
      </c>
    </row>
    <row r="110" spans="1:7" x14ac:dyDescent="0.25">
      <c r="A110" s="8">
        <v>43940</v>
      </c>
      <c r="B110" s="9" t="s">
        <v>125</v>
      </c>
      <c r="C110" s="9" t="s">
        <v>22</v>
      </c>
      <c r="D110" s="9">
        <v>1730.57</v>
      </c>
      <c r="E110" s="9" t="s">
        <v>7</v>
      </c>
      <c r="F110" s="12">
        <f>YEAR(Personal_Finance_Dataset[[#This Row],[Date]])</f>
        <v>2020</v>
      </c>
      <c r="G110">
        <f t="shared" si="1"/>
        <v>2020</v>
      </c>
    </row>
    <row r="111" spans="1:7" x14ac:dyDescent="0.25">
      <c r="A111" s="8">
        <v>43941</v>
      </c>
      <c r="B111" s="9" t="s">
        <v>126</v>
      </c>
      <c r="C111" s="9" t="s">
        <v>9</v>
      </c>
      <c r="D111" s="9">
        <v>1764.02</v>
      </c>
      <c r="E111" s="9" t="s">
        <v>7</v>
      </c>
      <c r="F111" s="12">
        <f>YEAR(Personal_Finance_Dataset[[#This Row],[Date]])</f>
        <v>2020</v>
      </c>
      <c r="G111">
        <f t="shared" si="1"/>
        <v>2020</v>
      </c>
    </row>
    <row r="112" spans="1:7" x14ac:dyDescent="0.25">
      <c r="A112" s="8">
        <v>43942</v>
      </c>
      <c r="B112" s="9" t="s">
        <v>127</v>
      </c>
      <c r="C112" s="9" t="s">
        <v>20</v>
      </c>
      <c r="D112" s="9">
        <v>3872</v>
      </c>
      <c r="E112" s="9" t="s">
        <v>14</v>
      </c>
      <c r="F112" s="12">
        <f>YEAR(Personal_Finance_Dataset[[#This Row],[Date]])</f>
        <v>2020</v>
      </c>
      <c r="G112">
        <f t="shared" si="1"/>
        <v>2020</v>
      </c>
    </row>
    <row r="113" spans="1:7" x14ac:dyDescent="0.25">
      <c r="A113" s="8">
        <v>43943</v>
      </c>
      <c r="B113" s="9" t="s">
        <v>128</v>
      </c>
      <c r="C113" s="9" t="s">
        <v>22</v>
      </c>
      <c r="D113" s="9">
        <v>540.94000000000005</v>
      </c>
      <c r="E113" s="9" t="s">
        <v>7</v>
      </c>
      <c r="F113" s="12">
        <f>YEAR(Personal_Finance_Dataset[[#This Row],[Date]])</f>
        <v>2020</v>
      </c>
      <c r="G113">
        <f t="shared" si="1"/>
        <v>2020</v>
      </c>
    </row>
    <row r="114" spans="1:7" x14ac:dyDescent="0.25">
      <c r="A114" s="8">
        <v>43944</v>
      </c>
      <c r="B114" s="9" t="s">
        <v>129</v>
      </c>
      <c r="C114" s="9" t="s">
        <v>11</v>
      </c>
      <c r="D114" s="9">
        <v>771.26</v>
      </c>
      <c r="E114" s="9" t="s">
        <v>7</v>
      </c>
      <c r="F114" s="12">
        <f>YEAR(Personal_Finance_Dataset[[#This Row],[Date]])</f>
        <v>2020</v>
      </c>
      <c r="G114">
        <f t="shared" si="1"/>
        <v>2020</v>
      </c>
    </row>
    <row r="115" spans="1:7" x14ac:dyDescent="0.25">
      <c r="A115" s="8">
        <v>43945</v>
      </c>
      <c r="B115" s="9" t="s">
        <v>130</v>
      </c>
      <c r="C115" s="9" t="s">
        <v>20</v>
      </c>
      <c r="D115" s="9">
        <v>2322</v>
      </c>
      <c r="E115" s="9" t="s">
        <v>14</v>
      </c>
      <c r="F115" s="12">
        <f>YEAR(Personal_Finance_Dataset[[#This Row],[Date]])</f>
        <v>2020</v>
      </c>
      <c r="G115">
        <f t="shared" si="1"/>
        <v>2020</v>
      </c>
    </row>
    <row r="116" spans="1:7" x14ac:dyDescent="0.25">
      <c r="A116" s="8">
        <v>43946</v>
      </c>
      <c r="B116" s="9" t="s">
        <v>131</v>
      </c>
      <c r="C116" s="9" t="s">
        <v>20</v>
      </c>
      <c r="D116" s="9">
        <v>3364</v>
      </c>
      <c r="E116" s="9" t="s">
        <v>14</v>
      </c>
      <c r="F116" s="12">
        <f>YEAR(Personal_Finance_Dataset[[#This Row],[Date]])</f>
        <v>2020</v>
      </c>
      <c r="G116">
        <f t="shared" si="1"/>
        <v>2020</v>
      </c>
    </row>
    <row r="117" spans="1:7" x14ac:dyDescent="0.25">
      <c r="A117" s="8">
        <v>43947</v>
      </c>
      <c r="B117" s="9" t="s">
        <v>132</v>
      </c>
      <c r="C117" s="9" t="s">
        <v>22</v>
      </c>
      <c r="D117" s="9">
        <v>453.62</v>
      </c>
      <c r="E117" s="9" t="s">
        <v>7</v>
      </c>
      <c r="F117" s="12">
        <f>YEAR(Personal_Finance_Dataset[[#This Row],[Date]])</f>
        <v>2020</v>
      </c>
      <c r="G117">
        <f t="shared" si="1"/>
        <v>2020</v>
      </c>
    </row>
    <row r="118" spans="1:7" x14ac:dyDescent="0.25">
      <c r="A118" s="8">
        <v>43948</v>
      </c>
      <c r="B118" s="9" t="s">
        <v>133</v>
      </c>
      <c r="C118" s="9" t="s">
        <v>17</v>
      </c>
      <c r="D118" s="9">
        <v>663.24</v>
      </c>
      <c r="E118" s="9" t="s">
        <v>7</v>
      </c>
      <c r="F118" s="12">
        <f>YEAR(Personal_Finance_Dataset[[#This Row],[Date]])</f>
        <v>2020</v>
      </c>
      <c r="G118">
        <f t="shared" si="1"/>
        <v>2020</v>
      </c>
    </row>
    <row r="119" spans="1:7" x14ac:dyDescent="0.25">
      <c r="A119" s="8">
        <v>43949</v>
      </c>
      <c r="B119" s="9" t="s">
        <v>134</v>
      </c>
      <c r="C119" s="9" t="s">
        <v>35</v>
      </c>
      <c r="D119" s="9">
        <v>708.78</v>
      </c>
      <c r="E119" s="9" t="s">
        <v>7</v>
      </c>
      <c r="F119" s="12">
        <f>YEAR(Personal_Finance_Dataset[[#This Row],[Date]])</f>
        <v>2020</v>
      </c>
      <c r="G119">
        <f t="shared" si="1"/>
        <v>2020</v>
      </c>
    </row>
    <row r="120" spans="1:7" x14ac:dyDescent="0.25">
      <c r="A120" s="8">
        <v>43950</v>
      </c>
      <c r="B120" s="9" t="s">
        <v>135</v>
      </c>
      <c r="C120" s="9" t="s">
        <v>25</v>
      </c>
      <c r="D120" s="9">
        <v>1879.08</v>
      </c>
      <c r="E120" s="9" t="s">
        <v>7</v>
      </c>
      <c r="F120" s="12">
        <f>YEAR(Personal_Finance_Dataset[[#This Row],[Date]])</f>
        <v>2020</v>
      </c>
      <c r="G120">
        <f t="shared" si="1"/>
        <v>2020</v>
      </c>
    </row>
    <row r="121" spans="1:7" x14ac:dyDescent="0.25">
      <c r="A121" s="8">
        <v>43951</v>
      </c>
      <c r="B121" s="9" t="s">
        <v>136</v>
      </c>
      <c r="C121" s="9" t="s">
        <v>20</v>
      </c>
      <c r="D121" s="9">
        <v>1962</v>
      </c>
      <c r="E121" s="9" t="s">
        <v>14</v>
      </c>
      <c r="F121" s="12">
        <f>YEAR(Personal_Finance_Dataset[[#This Row],[Date]])</f>
        <v>2020</v>
      </c>
      <c r="G121">
        <f t="shared" si="1"/>
        <v>2020</v>
      </c>
    </row>
    <row r="122" spans="1:7" x14ac:dyDescent="0.25">
      <c r="A122" s="8">
        <v>43952</v>
      </c>
      <c r="B122" s="9" t="s">
        <v>137</v>
      </c>
      <c r="C122" s="9" t="s">
        <v>35</v>
      </c>
      <c r="D122" s="9">
        <v>86.13</v>
      </c>
      <c r="E122" s="9" t="s">
        <v>7</v>
      </c>
      <c r="F122" s="12">
        <f>YEAR(Personal_Finance_Dataset[[#This Row],[Date]])</f>
        <v>2020</v>
      </c>
      <c r="G122">
        <f t="shared" si="1"/>
        <v>2020</v>
      </c>
    </row>
    <row r="123" spans="1:7" x14ac:dyDescent="0.25">
      <c r="A123" s="8">
        <v>43953</v>
      </c>
      <c r="B123" s="9" t="s">
        <v>138</v>
      </c>
      <c r="C123" s="9" t="s">
        <v>25</v>
      </c>
      <c r="D123" s="9">
        <v>1459.8</v>
      </c>
      <c r="E123" s="9" t="s">
        <v>7</v>
      </c>
      <c r="F123" s="12">
        <f>YEAR(Personal_Finance_Dataset[[#This Row],[Date]])</f>
        <v>2020</v>
      </c>
      <c r="G123">
        <f t="shared" si="1"/>
        <v>2020</v>
      </c>
    </row>
    <row r="124" spans="1:7" x14ac:dyDescent="0.25">
      <c r="A124" s="8">
        <v>43954</v>
      </c>
      <c r="B124" s="9" t="s">
        <v>139</v>
      </c>
      <c r="C124" s="9" t="s">
        <v>11</v>
      </c>
      <c r="D124" s="9">
        <v>776.54</v>
      </c>
      <c r="E124" s="9" t="s">
        <v>7</v>
      </c>
      <c r="F124" s="12">
        <f>YEAR(Personal_Finance_Dataset[[#This Row],[Date]])</f>
        <v>2020</v>
      </c>
      <c r="G124">
        <f t="shared" si="1"/>
        <v>2020</v>
      </c>
    </row>
    <row r="125" spans="1:7" x14ac:dyDescent="0.25">
      <c r="A125" s="8">
        <v>43955</v>
      </c>
      <c r="B125" s="9" t="s">
        <v>140</v>
      </c>
      <c r="C125" s="9" t="s">
        <v>35</v>
      </c>
      <c r="D125" s="9">
        <v>98.33</v>
      </c>
      <c r="E125" s="9" t="s">
        <v>7</v>
      </c>
      <c r="F125" s="12">
        <f>YEAR(Personal_Finance_Dataset[[#This Row],[Date]])</f>
        <v>2020</v>
      </c>
      <c r="G125">
        <f t="shared" si="1"/>
        <v>2020</v>
      </c>
    </row>
    <row r="126" spans="1:7" x14ac:dyDescent="0.25">
      <c r="A126" s="8">
        <v>43956</v>
      </c>
      <c r="B126" s="9" t="s">
        <v>141</v>
      </c>
      <c r="C126" s="9" t="s">
        <v>22</v>
      </c>
      <c r="D126" s="9">
        <v>734.8</v>
      </c>
      <c r="E126" s="9" t="s">
        <v>7</v>
      </c>
      <c r="F126" s="12">
        <f>YEAR(Personal_Finance_Dataset[[#This Row],[Date]])</f>
        <v>2020</v>
      </c>
      <c r="G126">
        <f t="shared" si="1"/>
        <v>2020</v>
      </c>
    </row>
    <row r="127" spans="1:7" x14ac:dyDescent="0.25">
      <c r="A127" s="8">
        <v>43957</v>
      </c>
      <c r="B127" s="9" t="s">
        <v>142</v>
      </c>
      <c r="C127" s="9" t="s">
        <v>20</v>
      </c>
      <c r="D127" s="9">
        <v>3071</v>
      </c>
      <c r="E127" s="9" t="s">
        <v>14</v>
      </c>
      <c r="F127" s="12">
        <f>YEAR(Personal_Finance_Dataset[[#This Row],[Date]])</f>
        <v>2020</v>
      </c>
      <c r="G127">
        <f t="shared" si="1"/>
        <v>2020</v>
      </c>
    </row>
    <row r="128" spans="1:7" x14ac:dyDescent="0.25">
      <c r="A128" s="8">
        <v>43958</v>
      </c>
      <c r="B128" s="9" t="s">
        <v>143</v>
      </c>
      <c r="C128" s="9" t="s">
        <v>11</v>
      </c>
      <c r="D128" s="9">
        <v>1442.31</v>
      </c>
      <c r="E128" s="9" t="s">
        <v>7</v>
      </c>
      <c r="F128" s="12">
        <f>YEAR(Personal_Finance_Dataset[[#This Row],[Date]])</f>
        <v>2020</v>
      </c>
      <c r="G128">
        <f t="shared" si="1"/>
        <v>2020</v>
      </c>
    </row>
    <row r="129" spans="1:7" x14ac:dyDescent="0.25">
      <c r="A129" s="8">
        <v>43959</v>
      </c>
      <c r="B129" s="9" t="s">
        <v>144</v>
      </c>
      <c r="C129" s="9" t="s">
        <v>35</v>
      </c>
      <c r="D129" s="9">
        <v>1337.12</v>
      </c>
      <c r="E129" s="9" t="s">
        <v>7</v>
      </c>
      <c r="F129" s="12">
        <f>YEAR(Personal_Finance_Dataset[[#This Row],[Date]])</f>
        <v>2020</v>
      </c>
      <c r="G129">
        <f t="shared" si="1"/>
        <v>2020</v>
      </c>
    </row>
    <row r="130" spans="1:7" x14ac:dyDescent="0.25">
      <c r="A130" s="8">
        <v>43960</v>
      </c>
      <c r="B130" s="9" t="s">
        <v>145</v>
      </c>
      <c r="C130" s="9" t="s">
        <v>35</v>
      </c>
      <c r="D130" s="9">
        <v>1113.28</v>
      </c>
      <c r="E130" s="9" t="s">
        <v>7</v>
      </c>
      <c r="F130" s="12">
        <f>YEAR(Personal_Finance_Dataset[[#This Row],[Date]])</f>
        <v>2020</v>
      </c>
      <c r="G130">
        <f t="shared" ref="G130:G193" si="2">YEAR(A130)</f>
        <v>2020</v>
      </c>
    </row>
    <row r="131" spans="1:7" x14ac:dyDescent="0.25">
      <c r="A131" s="8">
        <v>43961</v>
      </c>
      <c r="B131" s="9" t="s">
        <v>146</v>
      </c>
      <c r="C131" s="9" t="s">
        <v>20</v>
      </c>
      <c r="D131" s="9">
        <v>1925</v>
      </c>
      <c r="E131" s="9" t="s">
        <v>14</v>
      </c>
      <c r="F131" s="12">
        <f>YEAR(Personal_Finance_Dataset[[#This Row],[Date]])</f>
        <v>2020</v>
      </c>
      <c r="G131">
        <f t="shared" si="2"/>
        <v>2020</v>
      </c>
    </row>
    <row r="132" spans="1:7" x14ac:dyDescent="0.25">
      <c r="A132" s="8">
        <v>43962</v>
      </c>
      <c r="B132" s="9" t="s">
        <v>147</v>
      </c>
      <c r="C132" s="9" t="s">
        <v>35</v>
      </c>
      <c r="D132" s="9">
        <v>818.09</v>
      </c>
      <c r="E132" s="9" t="s">
        <v>7</v>
      </c>
      <c r="F132" s="12">
        <f>YEAR(Personal_Finance_Dataset[[#This Row],[Date]])</f>
        <v>2020</v>
      </c>
      <c r="G132">
        <f t="shared" si="2"/>
        <v>2020</v>
      </c>
    </row>
    <row r="133" spans="1:7" x14ac:dyDescent="0.25">
      <c r="A133" s="8">
        <v>43963</v>
      </c>
      <c r="B133" s="9" t="s">
        <v>148</v>
      </c>
      <c r="C133" s="9" t="s">
        <v>35</v>
      </c>
      <c r="D133" s="9">
        <v>580.96</v>
      </c>
      <c r="E133" s="9" t="s">
        <v>7</v>
      </c>
      <c r="F133" s="12">
        <f>YEAR(Personal_Finance_Dataset[[#This Row],[Date]])</f>
        <v>2020</v>
      </c>
      <c r="G133">
        <f t="shared" si="2"/>
        <v>2020</v>
      </c>
    </row>
    <row r="134" spans="1:7" x14ac:dyDescent="0.25">
      <c r="A134" s="8">
        <v>43964</v>
      </c>
      <c r="B134" s="9" t="s">
        <v>149</v>
      </c>
      <c r="C134" s="9" t="s">
        <v>25</v>
      </c>
      <c r="D134" s="9">
        <v>935.33</v>
      </c>
      <c r="E134" s="9" t="s">
        <v>7</v>
      </c>
      <c r="F134" s="12">
        <f>YEAR(Personal_Finance_Dataset[[#This Row],[Date]])</f>
        <v>2020</v>
      </c>
      <c r="G134">
        <f t="shared" si="2"/>
        <v>2020</v>
      </c>
    </row>
    <row r="135" spans="1:7" x14ac:dyDescent="0.25">
      <c r="A135" s="8">
        <v>43965</v>
      </c>
      <c r="B135" s="9" t="s">
        <v>150</v>
      </c>
      <c r="C135" s="9" t="s">
        <v>22</v>
      </c>
      <c r="D135" s="9">
        <v>1027.24</v>
      </c>
      <c r="E135" s="9" t="s">
        <v>7</v>
      </c>
      <c r="F135" s="12">
        <f>YEAR(Personal_Finance_Dataset[[#This Row],[Date]])</f>
        <v>2020</v>
      </c>
      <c r="G135">
        <f t="shared" si="2"/>
        <v>2020</v>
      </c>
    </row>
    <row r="136" spans="1:7" x14ac:dyDescent="0.25">
      <c r="A136" s="8">
        <v>43966</v>
      </c>
      <c r="B136" s="9" t="s">
        <v>151</v>
      </c>
      <c r="C136" s="9" t="s">
        <v>9</v>
      </c>
      <c r="D136" s="9">
        <v>1321.11</v>
      </c>
      <c r="E136" s="9" t="s">
        <v>7</v>
      </c>
      <c r="F136" s="12">
        <f>YEAR(Personal_Finance_Dataset[[#This Row],[Date]])</f>
        <v>2020</v>
      </c>
      <c r="G136">
        <f t="shared" si="2"/>
        <v>2020</v>
      </c>
    </row>
    <row r="137" spans="1:7" x14ac:dyDescent="0.25">
      <c r="A137" s="8">
        <v>43967</v>
      </c>
      <c r="B137" s="9" t="s">
        <v>152</v>
      </c>
      <c r="C137" s="9" t="s">
        <v>25</v>
      </c>
      <c r="D137" s="9">
        <v>195.84</v>
      </c>
      <c r="E137" s="9" t="s">
        <v>7</v>
      </c>
      <c r="F137" s="12">
        <f>YEAR(Personal_Finance_Dataset[[#This Row],[Date]])</f>
        <v>2020</v>
      </c>
      <c r="G137">
        <f t="shared" si="2"/>
        <v>2020</v>
      </c>
    </row>
    <row r="138" spans="1:7" x14ac:dyDescent="0.25">
      <c r="A138" s="8">
        <v>43968</v>
      </c>
      <c r="B138" s="9" t="s">
        <v>153</v>
      </c>
      <c r="C138" s="9" t="s">
        <v>22</v>
      </c>
      <c r="D138" s="9">
        <v>1348.86</v>
      </c>
      <c r="E138" s="9" t="s">
        <v>7</v>
      </c>
      <c r="F138" s="12">
        <f>YEAR(Personal_Finance_Dataset[[#This Row],[Date]])</f>
        <v>2020</v>
      </c>
      <c r="G138">
        <f t="shared" si="2"/>
        <v>2020</v>
      </c>
    </row>
    <row r="139" spans="1:7" x14ac:dyDescent="0.25">
      <c r="A139" s="8">
        <v>43969</v>
      </c>
      <c r="B139" s="9" t="s">
        <v>154</v>
      </c>
      <c r="C139" s="9" t="s">
        <v>22</v>
      </c>
      <c r="D139" s="9">
        <v>303.23</v>
      </c>
      <c r="E139" s="9" t="s">
        <v>7</v>
      </c>
      <c r="F139" s="12">
        <f>YEAR(Personal_Finance_Dataset[[#This Row],[Date]])</f>
        <v>2020</v>
      </c>
      <c r="G139">
        <f t="shared" si="2"/>
        <v>2020</v>
      </c>
    </row>
    <row r="140" spans="1:7" x14ac:dyDescent="0.25">
      <c r="A140" s="8">
        <v>43970</v>
      </c>
      <c r="B140" s="9" t="s">
        <v>155</v>
      </c>
      <c r="C140" s="9" t="s">
        <v>20</v>
      </c>
      <c r="D140" s="9">
        <v>1096</v>
      </c>
      <c r="E140" s="9" t="s">
        <v>14</v>
      </c>
      <c r="F140" s="12">
        <f>YEAR(Personal_Finance_Dataset[[#This Row],[Date]])</f>
        <v>2020</v>
      </c>
      <c r="G140">
        <f t="shared" si="2"/>
        <v>2020</v>
      </c>
    </row>
    <row r="141" spans="1:7" x14ac:dyDescent="0.25">
      <c r="A141" s="8">
        <v>43971</v>
      </c>
      <c r="B141" s="9" t="s">
        <v>156</v>
      </c>
      <c r="C141" s="9" t="s">
        <v>22</v>
      </c>
      <c r="D141" s="9">
        <v>1439.51</v>
      </c>
      <c r="E141" s="9" t="s">
        <v>7</v>
      </c>
      <c r="F141" s="12">
        <f>YEAR(Personal_Finance_Dataset[[#This Row],[Date]])</f>
        <v>2020</v>
      </c>
      <c r="G141">
        <f t="shared" si="2"/>
        <v>2020</v>
      </c>
    </row>
    <row r="142" spans="1:7" x14ac:dyDescent="0.25">
      <c r="A142" s="8">
        <v>43972</v>
      </c>
      <c r="B142" s="9" t="s">
        <v>157</v>
      </c>
      <c r="C142" s="9" t="s">
        <v>17</v>
      </c>
      <c r="D142" s="9">
        <v>495.53</v>
      </c>
      <c r="E142" s="9" t="s">
        <v>7</v>
      </c>
      <c r="F142" s="12">
        <f>YEAR(Personal_Finance_Dataset[[#This Row],[Date]])</f>
        <v>2020</v>
      </c>
      <c r="G142">
        <f t="shared" si="2"/>
        <v>2020</v>
      </c>
    </row>
    <row r="143" spans="1:7" x14ac:dyDescent="0.25">
      <c r="A143" s="8">
        <v>43973</v>
      </c>
      <c r="B143" s="9" t="s">
        <v>158</v>
      </c>
      <c r="C143" s="9" t="s">
        <v>6</v>
      </c>
      <c r="D143" s="9">
        <v>1786.39</v>
      </c>
      <c r="E143" s="9" t="s">
        <v>7</v>
      </c>
      <c r="F143" s="12">
        <f>YEAR(Personal_Finance_Dataset[[#This Row],[Date]])</f>
        <v>2020</v>
      </c>
      <c r="G143">
        <f t="shared" si="2"/>
        <v>2020</v>
      </c>
    </row>
    <row r="144" spans="1:7" x14ac:dyDescent="0.25">
      <c r="A144" s="8">
        <v>43974</v>
      </c>
      <c r="B144" s="9" t="s">
        <v>159</v>
      </c>
      <c r="C144" s="9" t="s">
        <v>11</v>
      </c>
      <c r="D144" s="9">
        <v>1559.06</v>
      </c>
      <c r="E144" s="9" t="s">
        <v>7</v>
      </c>
      <c r="F144" s="12">
        <f>YEAR(Personal_Finance_Dataset[[#This Row],[Date]])</f>
        <v>2020</v>
      </c>
      <c r="G144">
        <f t="shared" si="2"/>
        <v>2020</v>
      </c>
    </row>
    <row r="145" spans="1:7" x14ac:dyDescent="0.25">
      <c r="A145" s="8">
        <v>43975</v>
      </c>
      <c r="B145" s="9" t="s">
        <v>160</v>
      </c>
      <c r="C145" s="9" t="s">
        <v>27</v>
      </c>
      <c r="D145" s="9">
        <v>109.93</v>
      </c>
      <c r="E145" s="9" t="s">
        <v>7</v>
      </c>
      <c r="F145" s="12">
        <f>YEAR(Personal_Finance_Dataset[[#This Row],[Date]])</f>
        <v>2020</v>
      </c>
      <c r="G145">
        <f t="shared" si="2"/>
        <v>2020</v>
      </c>
    </row>
    <row r="146" spans="1:7" x14ac:dyDescent="0.25">
      <c r="A146" s="8">
        <v>43976</v>
      </c>
      <c r="B146" s="9" t="s">
        <v>161</v>
      </c>
      <c r="C146" s="9" t="s">
        <v>11</v>
      </c>
      <c r="D146" s="9">
        <v>918.36</v>
      </c>
      <c r="E146" s="9" t="s">
        <v>7</v>
      </c>
      <c r="F146" s="12">
        <f>YEAR(Personal_Finance_Dataset[[#This Row],[Date]])</f>
        <v>2020</v>
      </c>
      <c r="G146">
        <f t="shared" si="2"/>
        <v>2020</v>
      </c>
    </row>
    <row r="147" spans="1:7" x14ac:dyDescent="0.25">
      <c r="A147" s="8">
        <v>43977</v>
      </c>
      <c r="B147" s="9" t="s">
        <v>162</v>
      </c>
      <c r="C147" s="9" t="s">
        <v>25</v>
      </c>
      <c r="D147" s="9">
        <v>1900.58</v>
      </c>
      <c r="E147" s="9" t="s">
        <v>7</v>
      </c>
      <c r="F147" s="12">
        <f>YEAR(Personal_Finance_Dataset[[#This Row],[Date]])</f>
        <v>2020</v>
      </c>
      <c r="G147">
        <f t="shared" si="2"/>
        <v>2020</v>
      </c>
    </row>
    <row r="148" spans="1:7" x14ac:dyDescent="0.25">
      <c r="A148" s="8">
        <v>43978</v>
      </c>
      <c r="B148" s="9" t="s">
        <v>163</v>
      </c>
      <c r="C148" s="9" t="s">
        <v>17</v>
      </c>
      <c r="D148" s="9">
        <v>1662.83</v>
      </c>
      <c r="E148" s="9" t="s">
        <v>7</v>
      </c>
      <c r="F148" s="12">
        <f>YEAR(Personal_Finance_Dataset[[#This Row],[Date]])</f>
        <v>2020</v>
      </c>
      <c r="G148">
        <f t="shared" si="2"/>
        <v>2020</v>
      </c>
    </row>
    <row r="149" spans="1:7" x14ac:dyDescent="0.25">
      <c r="A149" s="8">
        <v>43979</v>
      </c>
      <c r="B149" s="9" t="s">
        <v>164</v>
      </c>
      <c r="C149" s="9" t="s">
        <v>9</v>
      </c>
      <c r="D149" s="9">
        <v>1489.87</v>
      </c>
      <c r="E149" s="9" t="s">
        <v>7</v>
      </c>
      <c r="F149" s="12">
        <f>YEAR(Personal_Finance_Dataset[[#This Row],[Date]])</f>
        <v>2020</v>
      </c>
      <c r="G149">
        <f t="shared" si="2"/>
        <v>2020</v>
      </c>
    </row>
    <row r="150" spans="1:7" x14ac:dyDescent="0.25">
      <c r="A150" s="8">
        <v>43980</v>
      </c>
      <c r="B150" s="9" t="s">
        <v>165</v>
      </c>
      <c r="C150" s="9" t="s">
        <v>35</v>
      </c>
      <c r="D150" s="9">
        <v>1506.04</v>
      </c>
      <c r="E150" s="9" t="s">
        <v>7</v>
      </c>
      <c r="F150" s="12">
        <f>YEAR(Personal_Finance_Dataset[[#This Row],[Date]])</f>
        <v>2020</v>
      </c>
      <c r="G150">
        <f t="shared" si="2"/>
        <v>2020</v>
      </c>
    </row>
    <row r="151" spans="1:7" x14ac:dyDescent="0.25">
      <c r="A151" s="8">
        <v>43981</v>
      </c>
      <c r="B151" s="9" t="s">
        <v>166</v>
      </c>
      <c r="C151" s="9" t="s">
        <v>35</v>
      </c>
      <c r="D151" s="9">
        <v>1533.97</v>
      </c>
      <c r="E151" s="9" t="s">
        <v>7</v>
      </c>
      <c r="F151" s="12">
        <f>YEAR(Personal_Finance_Dataset[[#This Row],[Date]])</f>
        <v>2020</v>
      </c>
      <c r="G151">
        <f t="shared" si="2"/>
        <v>2020</v>
      </c>
    </row>
    <row r="152" spans="1:7" x14ac:dyDescent="0.25">
      <c r="A152" s="8">
        <v>43982</v>
      </c>
      <c r="B152" s="9" t="s">
        <v>167</v>
      </c>
      <c r="C152" s="9" t="s">
        <v>22</v>
      </c>
      <c r="D152" s="9">
        <v>556.45000000000005</v>
      </c>
      <c r="E152" s="9" t="s">
        <v>7</v>
      </c>
      <c r="F152" s="12">
        <f>YEAR(Personal_Finance_Dataset[[#This Row],[Date]])</f>
        <v>2020</v>
      </c>
      <c r="G152">
        <f t="shared" si="2"/>
        <v>2020</v>
      </c>
    </row>
    <row r="153" spans="1:7" x14ac:dyDescent="0.25">
      <c r="A153" s="8">
        <v>43983</v>
      </c>
      <c r="B153" s="9" t="s">
        <v>168</v>
      </c>
      <c r="C153" s="9" t="s">
        <v>20</v>
      </c>
      <c r="D153" s="9">
        <v>2420</v>
      </c>
      <c r="E153" s="9" t="s">
        <v>14</v>
      </c>
      <c r="F153" s="12">
        <f>YEAR(Personal_Finance_Dataset[[#This Row],[Date]])</f>
        <v>2020</v>
      </c>
      <c r="G153">
        <f t="shared" si="2"/>
        <v>2020</v>
      </c>
    </row>
    <row r="154" spans="1:7" x14ac:dyDescent="0.25">
      <c r="A154" s="8">
        <v>43984</v>
      </c>
      <c r="B154" s="9" t="s">
        <v>169</v>
      </c>
      <c r="C154" s="9" t="s">
        <v>25</v>
      </c>
      <c r="D154" s="9">
        <v>1787.12</v>
      </c>
      <c r="E154" s="9" t="s">
        <v>7</v>
      </c>
      <c r="F154" s="12">
        <f>YEAR(Personal_Finance_Dataset[[#This Row],[Date]])</f>
        <v>2020</v>
      </c>
      <c r="G154">
        <f t="shared" si="2"/>
        <v>2020</v>
      </c>
    </row>
    <row r="155" spans="1:7" x14ac:dyDescent="0.25">
      <c r="A155" s="8">
        <v>43985</v>
      </c>
      <c r="B155" s="9" t="s">
        <v>170</v>
      </c>
      <c r="C155" s="9" t="s">
        <v>13</v>
      </c>
      <c r="D155" s="9">
        <v>2394</v>
      </c>
      <c r="E155" s="9" t="s">
        <v>14</v>
      </c>
      <c r="F155" s="12">
        <f>YEAR(Personal_Finance_Dataset[[#This Row],[Date]])</f>
        <v>2020</v>
      </c>
      <c r="G155">
        <f t="shared" si="2"/>
        <v>2020</v>
      </c>
    </row>
    <row r="156" spans="1:7" x14ac:dyDescent="0.25">
      <c r="A156" s="8">
        <v>43986</v>
      </c>
      <c r="B156" s="9" t="s">
        <v>171</v>
      </c>
      <c r="C156" s="9" t="s">
        <v>9</v>
      </c>
      <c r="D156" s="9">
        <v>1415.77</v>
      </c>
      <c r="E156" s="9" t="s">
        <v>7</v>
      </c>
      <c r="F156" s="12">
        <f>YEAR(Personal_Finance_Dataset[[#This Row],[Date]])</f>
        <v>2020</v>
      </c>
      <c r="G156">
        <f t="shared" si="2"/>
        <v>2020</v>
      </c>
    </row>
    <row r="157" spans="1:7" x14ac:dyDescent="0.25">
      <c r="A157" s="8">
        <v>43987</v>
      </c>
      <c r="B157" s="9" t="s">
        <v>172</v>
      </c>
      <c r="C157" s="9" t="s">
        <v>20</v>
      </c>
      <c r="D157" s="9">
        <v>3210</v>
      </c>
      <c r="E157" s="9" t="s">
        <v>14</v>
      </c>
      <c r="F157" s="12">
        <f>YEAR(Personal_Finance_Dataset[[#This Row],[Date]])</f>
        <v>2020</v>
      </c>
      <c r="G157">
        <f t="shared" si="2"/>
        <v>2020</v>
      </c>
    </row>
    <row r="158" spans="1:7" x14ac:dyDescent="0.25">
      <c r="A158" s="8">
        <v>43988</v>
      </c>
      <c r="B158" s="9" t="s">
        <v>173</v>
      </c>
      <c r="C158" s="9" t="s">
        <v>17</v>
      </c>
      <c r="D158" s="9">
        <v>133.91</v>
      </c>
      <c r="E158" s="9" t="s">
        <v>7</v>
      </c>
      <c r="F158" s="12">
        <f>YEAR(Personal_Finance_Dataset[[#This Row],[Date]])</f>
        <v>2020</v>
      </c>
      <c r="G158">
        <f t="shared" si="2"/>
        <v>2020</v>
      </c>
    </row>
    <row r="159" spans="1:7" x14ac:dyDescent="0.25">
      <c r="A159" s="8">
        <v>43989</v>
      </c>
      <c r="B159" s="9" t="s">
        <v>174</v>
      </c>
      <c r="C159" s="9" t="s">
        <v>17</v>
      </c>
      <c r="D159" s="9">
        <v>1810.63</v>
      </c>
      <c r="E159" s="9" t="s">
        <v>7</v>
      </c>
      <c r="F159" s="12">
        <f>YEAR(Personal_Finance_Dataset[[#This Row],[Date]])</f>
        <v>2020</v>
      </c>
      <c r="G159">
        <f t="shared" si="2"/>
        <v>2020</v>
      </c>
    </row>
    <row r="160" spans="1:7" x14ac:dyDescent="0.25">
      <c r="A160" s="8">
        <v>43990</v>
      </c>
      <c r="B160" s="9" t="s">
        <v>175</v>
      </c>
      <c r="C160" s="9" t="s">
        <v>6</v>
      </c>
      <c r="D160" s="9">
        <v>1714.9</v>
      </c>
      <c r="E160" s="9" t="s">
        <v>7</v>
      </c>
      <c r="F160" s="12">
        <f>YEAR(Personal_Finance_Dataset[[#This Row],[Date]])</f>
        <v>2020</v>
      </c>
      <c r="G160">
        <f t="shared" si="2"/>
        <v>2020</v>
      </c>
    </row>
    <row r="161" spans="1:7" x14ac:dyDescent="0.25">
      <c r="A161" s="8">
        <v>43991</v>
      </c>
      <c r="B161" s="9" t="s">
        <v>176</v>
      </c>
      <c r="C161" s="9" t="s">
        <v>17</v>
      </c>
      <c r="D161" s="9">
        <v>959.19</v>
      </c>
      <c r="E161" s="9" t="s">
        <v>7</v>
      </c>
      <c r="F161" s="12">
        <f>YEAR(Personal_Finance_Dataset[[#This Row],[Date]])</f>
        <v>2020</v>
      </c>
      <c r="G161">
        <f t="shared" si="2"/>
        <v>2020</v>
      </c>
    </row>
    <row r="162" spans="1:7" x14ac:dyDescent="0.25">
      <c r="A162" s="8">
        <v>43992</v>
      </c>
      <c r="B162" s="9" t="s">
        <v>177</v>
      </c>
      <c r="C162" s="9" t="s">
        <v>35</v>
      </c>
      <c r="D162" s="9">
        <v>1509.42</v>
      </c>
      <c r="E162" s="9" t="s">
        <v>7</v>
      </c>
      <c r="F162" s="12">
        <f>YEAR(Personal_Finance_Dataset[[#This Row],[Date]])</f>
        <v>2020</v>
      </c>
      <c r="G162">
        <f t="shared" si="2"/>
        <v>2020</v>
      </c>
    </row>
    <row r="163" spans="1:7" x14ac:dyDescent="0.25">
      <c r="A163" s="8">
        <v>43993</v>
      </c>
      <c r="B163" s="9" t="s">
        <v>178</v>
      </c>
      <c r="C163" s="9" t="s">
        <v>17</v>
      </c>
      <c r="D163" s="9">
        <v>1081.06</v>
      </c>
      <c r="E163" s="9" t="s">
        <v>7</v>
      </c>
      <c r="F163" s="12">
        <f>YEAR(Personal_Finance_Dataset[[#This Row],[Date]])</f>
        <v>2020</v>
      </c>
      <c r="G163">
        <f t="shared" si="2"/>
        <v>2020</v>
      </c>
    </row>
    <row r="164" spans="1:7" x14ac:dyDescent="0.25">
      <c r="A164" s="8">
        <v>43994</v>
      </c>
      <c r="B164" s="9" t="s">
        <v>179</v>
      </c>
      <c r="C164" s="9" t="s">
        <v>22</v>
      </c>
      <c r="D164" s="9">
        <v>981.58</v>
      </c>
      <c r="E164" s="9" t="s">
        <v>7</v>
      </c>
      <c r="F164" s="12">
        <f>YEAR(Personal_Finance_Dataset[[#This Row],[Date]])</f>
        <v>2020</v>
      </c>
      <c r="G164">
        <f t="shared" si="2"/>
        <v>2020</v>
      </c>
    </row>
    <row r="165" spans="1:7" x14ac:dyDescent="0.25">
      <c r="A165" s="8">
        <v>43995</v>
      </c>
      <c r="B165" s="9" t="s">
        <v>180</v>
      </c>
      <c r="C165" s="9" t="s">
        <v>27</v>
      </c>
      <c r="D165" s="9">
        <v>67.760000000000005</v>
      </c>
      <c r="E165" s="9" t="s">
        <v>7</v>
      </c>
      <c r="F165" s="12">
        <f>YEAR(Personal_Finance_Dataset[[#This Row],[Date]])</f>
        <v>2020</v>
      </c>
      <c r="G165">
        <f t="shared" si="2"/>
        <v>2020</v>
      </c>
    </row>
    <row r="166" spans="1:7" x14ac:dyDescent="0.25">
      <c r="A166" s="8">
        <v>43996</v>
      </c>
      <c r="B166" s="9" t="s">
        <v>181</v>
      </c>
      <c r="C166" s="9" t="s">
        <v>17</v>
      </c>
      <c r="D166" s="9">
        <v>1451.12</v>
      </c>
      <c r="E166" s="9" t="s">
        <v>7</v>
      </c>
      <c r="F166" s="12">
        <f>YEAR(Personal_Finance_Dataset[[#This Row],[Date]])</f>
        <v>2020</v>
      </c>
      <c r="G166">
        <f t="shared" si="2"/>
        <v>2020</v>
      </c>
    </row>
    <row r="167" spans="1:7" x14ac:dyDescent="0.25">
      <c r="A167" s="8">
        <v>43997</v>
      </c>
      <c r="B167" s="9" t="s">
        <v>182</v>
      </c>
      <c r="C167" s="9" t="s">
        <v>9</v>
      </c>
      <c r="D167" s="9">
        <v>1961.64</v>
      </c>
      <c r="E167" s="9" t="s">
        <v>7</v>
      </c>
      <c r="F167" s="12">
        <f>YEAR(Personal_Finance_Dataset[[#This Row],[Date]])</f>
        <v>2020</v>
      </c>
      <c r="G167">
        <f t="shared" si="2"/>
        <v>2020</v>
      </c>
    </row>
    <row r="168" spans="1:7" x14ac:dyDescent="0.25">
      <c r="A168" s="8">
        <v>43998</v>
      </c>
      <c r="B168" s="9" t="s">
        <v>183</v>
      </c>
      <c r="C168" s="9" t="s">
        <v>17</v>
      </c>
      <c r="D168" s="9">
        <v>1187.8699999999999</v>
      </c>
      <c r="E168" s="9" t="s">
        <v>7</v>
      </c>
      <c r="F168" s="12">
        <f>YEAR(Personal_Finance_Dataset[[#This Row],[Date]])</f>
        <v>2020</v>
      </c>
      <c r="G168">
        <f t="shared" si="2"/>
        <v>2020</v>
      </c>
    </row>
    <row r="169" spans="1:7" x14ac:dyDescent="0.25">
      <c r="A169" s="8">
        <v>43999</v>
      </c>
      <c r="B169" s="9" t="s">
        <v>184</v>
      </c>
      <c r="C169" s="9" t="s">
        <v>11</v>
      </c>
      <c r="D169" s="9">
        <v>1289.07</v>
      </c>
      <c r="E169" s="9" t="s">
        <v>7</v>
      </c>
      <c r="F169" s="12">
        <f>YEAR(Personal_Finance_Dataset[[#This Row],[Date]])</f>
        <v>2020</v>
      </c>
      <c r="G169">
        <f t="shared" si="2"/>
        <v>2020</v>
      </c>
    </row>
    <row r="170" spans="1:7" x14ac:dyDescent="0.25">
      <c r="A170" s="8">
        <v>44000</v>
      </c>
      <c r="B170" s="9" t="s">
        <v>185</v>
      </c>
      <c r="C170" s="9" t="s">
        <v>20</v>
      </c>
      <c r="D170" s="9">
        <v>1988</v>
      </c>
      <c r="E170" s="9" t="s">
        <v>14</v>
      </c>
      <c r="F170" s="12">
        <f>YEAR(Personal_Finance_Dataset[[#This Row],[Date]])</f>
        <v>2020</v>
      </c>
      <c r="G170">
        <f t="shared" si="2"/>
        <v>2020</v>
      </c>
    </row>
    <row r="171" spans="1:7" x14ac:dyDescent="0.25">
      <c r="A171" s="8">
        <v>44001</v>
      </c>
      <c r="B171" s="9" t="s">
        <v>186</v>
      </c>
      <c r="C171" s="9" t="s">
        <v>20</v>
      </c>
      <c r="D171" s="9">
        <v>3181</v>
      </c>
      <c r="E171" s="9" t="s">
        <v>14</v>
      </c>
      <c r="F171" s="12">
        <f>YEAR(Personal_Finance_Dataset[[#This Row],[Date]])</f>
        <v>2020</v>
      </c>
      <c r="G171">
        <f t="shared" si="2"/>
        <v>2020</v>
      </c>
    </row>
    <row r="172" spans="1:7" x14ac:dyDescent="0.25">
      <c r="A172" s="8">
        <v>44002</v>
      </c>
      <c r="B172" s="9" t="s">
        <v>187</v>
      </c>
      <c r="C172" s="9" t="s">
        <v>25</v>
      </c>
      <c r="D172" s="9">
        <v>681.63</v>
      </c>
      <c r="E172" s="9" t="s">
        <v>7</v>
      </c>
      <c r="F172" s="12">
        <f>YEAR(Personal_Finance_Dataset[[#This Row],[Date]])</f>
        <v>2020</v>
      </c>
      <c r="G172">
        <f t="shared" si="2"/>
        <v>2020</v>
      </c>
    </row>
    <row r="173" spans="1:7" x14ac:dyDescent="0.25">
      <c r="A173" s="8">
        <v>44003</v>
      </c>
      <c r="B173" s="9" t="s">
        <v>188</v>
      </c>
      <c r="C173" s="9" t="s">
        <v>35</v>
      </c>
      <c r="D173" s="9">
        <v>1506.5</v>
      </c>
      <c r="E173" s="9" t="s">
        <v>7</v>
      </c>
      <c r="F173" s="12">
        <f>YEAR(Personal_Finance_Dataset[[#This Row],[Date]])</f>
        <v>2020</v>
      </c>
      <c r="G173">
        <f t="shared" si="2"/>
        <v>2020</v>
      </c>
    </row>
    <row r="174" spans="1:7" x14ac:dyDescent="0.25">
      <c r="A174" s="8">
        <v>44004</v>
      </c>
      <c r="B174" s="9" t="s">
        <v>189</v>
      </c>
      <c r="C174" s="9" t="s">
        <v>35</v>
      </c>
      <c r="D174" s="9">
        <v>1671.47</v>
      </c>
      <c r="E174" s="9" t="s">
        <v>7</v>
      </c>
      <c r="F174" s="12">
        <f>YEAR(Personal_Finance_Dataset[[#This Row],[Date]])</f>
        <v>2020</v>
      </c>
      <c r="G174">
        <f t="shared" si="2"/>
        <v>2020</v>
      </c>
    </row>
    <row r="175" spans="1:7" x14ac:dyDescent="0.25">
      <c r="A175" s="8">
        <v>44005</v>
      </c>
      <c r="B175" s="9" t="s">
        <v>190</v>
      </c>
      <c r="C175" s="9" t="s">
        <v>6</v>
      </c>
      <c r="D175" s="9">
        <v>1999.82</v>
      </c>
      <c r="E175" s="9" t="s">
        <v>7</v>
      </c>
      <c r="F175" s="12">
        <f>YEAR(Personal_Finance_Dataset[[#This Row],[Date]])</f>
        <v>2020</v>
      </c>
      <c r="G175">
        <f t="shared" si="2"/>
        <v>2020</v>
      </c>
    </row>
    <row r="176" spans="1:7" x14ac:dyDescent="0.25">
      <c r="A176" s="8">
        <v>44006</v>
      </c>
      <c r="B176" s="9" t="s">
        <v>191</v>
      </c>
      <c r="C176" s="9" t="s">
        <v>11</v>
      </c>
      <c r="D176" s="9">
        <v>1564.65</v>
      </c>
      <c r="E176" s="9" t="s">
        <v>7</v>
      </c>
      <c r="F176" s="12">
        <f>YEAR(Personal_Finance_Dataset[[#This Row],[Date]])</f>
        <v>2020</v>
      </c>
      <c r="G176">
        <f t="shared" si="2"/>
        <v>2020</v>
      </c>
    </row>
    <row r="177" spans="1:7" x14ac:dyDescent="0.25">
      <c r="A177" s="8">
        <v>44007</v>
      </c>
      <c r="B177" s="9" t="s">
        <v>192</v>
      </c>
      <c r="C177" s="9" t="s">
        <v>6</v>
      </c>
      <c r="D177" s="9">
        <v>1899.73</v>
      </c>
      <c r="E177" s="9" t="s">
        <v>7</v>
      </c>
      <c r="F177" s="12">
        <f>YEAR(Personal_Finance_Dataset[[#This Row],[Date]])</f>
        <v>2020</v>
      </c>
      <c r="G177">
        <f t="shared" si="2"/>
        <v>2020</v>
      </c>
    </row>
    <row r="178" spans="1:7" x14ac:dyDescent="0.25">
      <c r="A178" s="8">
        <v>44008</v>
      </c>
      <c r="B178" s="9" t="s">
        <v>193</v>
      </c>
      <c r="C178" s="9" t="s">
        <v>13</v>
      </c>
      <c r="D178" s="9">
        <v>1748</v>
      </c>
      <c r="E178" s="9" t="s">
        <v>14</v>
      </c>
      <c r="F178" s="12">
        <f>YEAR(Personal_Finance_Dataset[[#This Row],[Date]])</f>
        <v>2020</v>
      </c>
      <c r="G178">
        <f t="shared" si="2"/>
        <v>2020</v>
      </c>
    </row>
    <row r="179" spans="1:7" x14ac:dyDescent="0.25">
      <c r="A179" s="8">
        <v>44009</v>
      </c>
      <c r="B179" s="9" t="s">
        <v>194</v>
      </c>
      <c r="C179" s="9" t="s">
        <v>27</v>
      </c>
      <c r="D179" s="9">
        <v>1342.22</v>
      </c>
      <c r="E179" s="9" t="s">
        <v>7</v>
      </c>
      <c r="F179" s="12">
        <f>YEAR(Personal_Finance_Dataset[[#This Row],[Date]])</f>
        <v>2020</v>
      </c>
      <c r="G179">
        <f t="shared" si="2"/>
        <v>2020</v>
      </c>
    </row>
    <row r="180" spans="1:7" x14ac:dyDescent="0.25">
      <c r="A180" s="8">
        <v>44010</v>
      </c>
      <c r="B180" s="9" t="s">
        <v>195</v>
      </c>
      <c r="C180" s="9" t="s">
        <v>22</v>
      </c>
      <c r="D180" s="9">
        <v>935.42</v>
      </c>
      <c r="E180" s="9" t="s">
        <v>7</v>
      </c>
      <c r="F180" s="12">
        <f>YEAR(Personal_Finance_Dataset[[#This Row],[Date]])</f>
        <v>2020</v>
      </c>
      <c r="G180">
        <f t="shared" si="2"/>
        <v>2020</v>
      </c>
    </row>
    <row r="181" spans="1:7" x14ac:dyDescent="0.25">
      <c r="A181" s="8">
        <v>44011</v>
      </c>
      <c r="B181" s="9" t="s">
        <v>196</v>
      </c>
      <c r="C181" s="9" t="s">
        <v>25</v>
      </c>
      <c r="D181" s="9">
        <v>343.9</v>
      </c>
      <c r="E181" s="9" t="s">
        <v>7</v>
      </c>
      <c r="F181" s="12">
        <f>YEAR(Personal_Finance_Dataset[[#This Row],[Date]])</f>
        <v>2020</v>
      </c>
      <c r="G181">
        <f t="shared" si="2"/>
        <v>2020</v>
      </c>
    </row>
    <row r="182" spans="1:7" x14ac:dyDescent="0.25">
      <c r="A182" s="8">
        <v>44012</v>
      </c>
      <c r="B182" s="9" t="s">
        <v>197</v>
      </c>
      <c r="C182" s="9" t="s">
        <v>11</v>
      </c>
      <c r="D182" s="9">
        <v>1557.81</v>
      </c>
      <c r="E182" s="9" t="s">
        <v>7</v>
      </c>
      <c r="F182" s="12">
        <f>YEAR(Personal_Finance_Dataset[[#This Row],[Date]])</f>
        <v>2020</v>
      </c>
      <c r="G182">
        <f t="shared" si="2"/>
        <v>2020</v>
      </c>
    </row>
    <row r="183" spans="1:7" x14ac:dyDescent="0.25">
      <c r="A183" s="8">
        <v>44013</v>
      </c>
      <c r="B183" s="9" t="s">
        <v>198</v>
      </c>
      <c r="C183" s="9" t="s">
        <v>20</v>
      </c>
      <c r="D183" s="9">
        <v>1385</v>
      </c>
      <c r="E183" s="9" t="s">
        <v>14</v>
      </c>
      <c r="F183" s="12">
        <f>YEAR(Personal_Finance_Dataset[[#This Row],[Date]])</f>
        <v>2020</v>
      </c>
      <c r="G183">
        <f t="shared" si="2"/>
        <v>2020</v>
      </c>
    </row>
    <row r="184" spans="1:7" x14ac:dyDescent="0.25">
      <c r="A184" s="8">
        <v>44014</v>
      </c>
      <c r="B184" s="9" t="s">
        <v>199</v>
      </c>
      <c r="C184" s="9" t="s">
        <v>35</v>
      </c>
      <c r="D184" s="9">
        <v>1155.8399999999999</v>
      </c>
      <c r="E184" s="9" t="s">
        <v>7</v>
      </c>
      <c r="F184" s="12">
        <f>YEAR(Personal_Finance_Dataset[[#This Row],[Date]])</f>
        <v>2020</v>
      </c>
      <c r="G184">
        <f t="shared" si="2"/>
        <v>2020</v>
      </c>
    </row>
    <row r="185" spans="1:7" x14ac:dyDescent="0.25">
      <c r="A185" s="8">
        <v>44015</v>
      </c>
      <c r="B185" s="9" t="s">
        <v>200</v>
      </c>
      <c r="C185" s="9" t="s">
        <v>17</v>
      </c>
      <c r="D185" s="9">
        <v>799.34</v>
      </c>
      <c r="E185" s="9" t="s">
        <v>7</v>
      </c>
      <c r="F185" s="12">
        <f>YEAR(Personal_Finance_Dataset[[#This Row],[Date]])</f>
        <v>2020</v>
      </c>
      <c r="G185">
        <f t="shared" si="2"/>
        <v>2020</v>
      </c>
    </row>
    <row r="186" spans="1:7" x14ac:dyDescent="0.25">
      <c r="A186" s="8">
        <v>44016</v>
      </c>
      <c r="B186" s="9" t="s">
        <v>201</v>
      </c>
      <c r="C186" s="9" t="s">
        <v>11</v>
      </c>
      <c r="D186" s="9">
        <v>1188.27</v>
      </c>
      <c r="E186" s="9" t="s">
        <v>7</v>
      </c>
      <c r="F186" s="12">
        <f>YEAR(Personal_Finance_Dataset[[#This Row],[Date]])</f>
        <v>2020</v>
      </c>
      <c r="G186">
        <f t="shared" si="2"/>
        <v>2020</v>
      </c>
    </row>
    <row r="187" spans="1:7" x14ac:dyDescent="0.25">
      <c r="A187" s="8">
        <v>44017</v>
      </c>
      <c r="B187" s="9" t="s">
        <v>202</v>
      </c>
      <c r="C187" s="9" t="s">
        <v>22</v>
      </c>
      <c r="D187" s="9">
        <v>212.78</v>
      </c>
      <c r="E187" s="9" t="s">
        <v>7</v>
      </c>
      <c r="F187" s="12">
        <f>YEAR(Personal_Finance_Dataset[[#This Row],[Date]])</f>
        <v>2020</v>
      </c>
      <c r="G187">
        <f t="shared" si="2"/>
        <v>2020</v>
      </c>
    </row>
    <row r="188" spans="1:7" x14ac:dyDescent="0.25">
      <c r="A188" s="8">
        <v>44018</v>
      </c>
      <c r="B188" s="9" t="s">
        <v>203</v>
      </c>
      <c r="C188" s="9" t="s">
        <v>11</v>
      </c>
      <c r="D188" s="9">
        <v>1594.49</v>
      </c>
      <c r="E188" s="9" t="s">
        <v>7</v>
      </c>
      <c r="F188" s="12">
        <f>YEAR(Personal_Finance_Dataset[[#This Row],[Date]])</f>
        <v>2020</v>
      </c>
      <c r="G188">
        <f t="shared" si="2"/>
        <v>2020</v>
      </c>
    </row>
    <row r="189" spans="1:7" x14ac:dyDescent="0.25">
      <c r="A189" s="8">
        <v>44019</v>
      </c>
      <c r="B189" s="9" t="s">
        <v>204</v>
      </c>
      <c r="C189" s="9" t="s">
        <v>6</v>
      </c>
      <c r="D189" s="9">
        <v>700.94</v>
      </c>
      <c r="E189" s="9" t="s">
        <v>7</v>
      </c>
      <c r="F189" s="12">
        <f>YEAR(Personal_Finance_Dataset[[#This Row],[Date]])</f>
        <v>2020</v>
      </c>
      <c r="G189">
        <f t="shared" si="2"/>
        <v>2020</v>
      </c>
    </row>
    <row r="190" spans="1:7" x14ac:dyDescent="0.25">
      <c r="A190" s="8">
        <v>44020</v>
      </c>
      <c r="B190" s="9" t="s">
        <v>205</v>
      </c>
      <c r="C190" s="9" t="s">
        <v>25</v>
      </c>
      <c r="D190" s="9">
        <v>147.22</v>
      </c>
      <c r="E190" s="9" t="s">
        <v>7</v>
      </c>
      <c r="F190" s="12">
        <f>YEAR(Personal_Finance_Dataset[[#This Row],[Date]])</f>
        <v>2020</v>
      </c>
      <c r="G190">
        <f t="shared" si="2"/>
        <v>2020</v>
      </c>
    </row>
    <row r="191" spans="1:7" x14ac:dyDescent="0.25">
      <c r="A191" s="8">
        <v>44021</v>
      </c>
      <c r="B191" s="9" t="s">
        <v>206</v>
      </c>
      <c r="C191" s="9" t="s">
        <v>6</v>
      </c>
      <c r="D191" s="9">
        <v>1700.66</v>
      </c>
      <c r="E191" s="9" t="s">
        <v>7</v>
      </c>
      <c r="F191" s="12">
        <f>YEAR(Personal_Finance_Dataset[[#This Row],[Date]])</f>
        <v>2020</v>
      </c>
      <c r="G191">
        <f t="shared" si="2"/>
        <v>2020</v>
      </c>
    </row>
    <row r="192" spans="1:7" x14ac:dyDescent="0.25">
      <c r="A192" s="8">
        <v>44022</v>
      </c>
      <c r="B192" s="9" t="s">
        <v>207</v>
      </c>
      <c r="C192" s="9" t="s">
        <v>11</v>
      </c>
      <c r="D192" s="9">
        <v>872.71</v>
      </c>
      <c r="E192" s="9" t="s">
        <v>7</v>
      </c>
      <c r="F192" s="12">
        <f>YEAR(Personal_Finance_Dataset[[#This Row],[Date]])</f>
        <v>2020</v>
      </c>
      <c r="G192">
        <f t="shared" si="2"/>
        <v>2020</v>
      </c>
    </row>
    <row r="193" spans="1:7" x14ac:dyDescent="0.25">
      <c r="A193" s="8">
        <v>44023</v>
      </c>
      <c r="B193" s="9" t="s">
        <v>208</v>
      </c>
      <c r="C193" s="9" t="s">
        <v>27</v>
      </c>
      <c r="D193" s="9">
        <v>1417.54</v>
      </c>
      <c r="E193" s="9" t="s">
        <v>7</v>
      </c>
      <c r="F193" s="12">
        <f>YEAR(Personal_Finance_Dataset[[#This Row],[Date]])</f>
        <v>2020</v>
      </c>
      <c r="G193">
        <f t="shared" si="2"/>
        <v>2020</v>
      </c>
    </row>
    <row r="194" spans="1:7" x14ac:dyDescent="0.25">
      <c r="A194" s="8">
        <v>44024</v>
      </c>
      <c r="B194" s="9" t="s">
        <v>209</v>
      </c>
      <c r="C194" s="9" t="s">
        <v>35</v>
      </c>
      <c r="D194" s="9">
        <v>1235.67</v>
      </c>
      <c r="E194" s="9" t="s">
        <v>7</v>
      </c>
      <c r="F194" s="12">
        <f>YEAR(Personal_Finance_Dataset[[#This Row],[Date]])</f>
        <v>2020</v>
      </c>
      <c r="G194">
        <f t="shared" ref="G194:G257" si="3">YEAR(A194)</f>
        <v>2020</v>
      </c>
    </row>
    <row r="195" spans="1:7" x14ac:dyDescent="0.25">
      <c r="A195" s="8">
        <v>44025</v>
      </c>
      <c r="B195" s="9" t="s">
        <v>210</v>
      </c>
      <c r="C195" s="9" t="s">
        <v>27</v>
      </c>
      <c r="D195" s="9">
        <v>935.1</v>
      </c>
      <c r="E195" s="9" t="s">
        <v>7</v>
      </c>
      <c r="F195" s="12">
        <f>YEAR(Personal_Finance_Dataset[[#This Row],[Date]])</f>
        <v>2020</v>
      </c>
      <c r="G195">
        <f t="shared" si="3"/>
        <v>2020</v>
      </c>
    </row>
    <row r="196" spans="1:7" x14ac:dyDescent="0.25">
      <c r="A196" s="8">
        <v>44026</v>
      </c>
      <c r="B196" s="9" t="s">
        <v>211</v>
      </c>
      <c r="C196" s="9" t="s">
        <v>35</v>
      </c>
      <c r="D196" s="9">
        <v>651.39</v>
      </c>
      <c r="E196" s="9" t="s">
        <v>7</v>
      </c>
      <c r="F196" s="12">
        <f>YEAR(Personal_Finance_Dataset[[#This Row],[Date]])</f>
        <v>2020</v>
      </c>
      <c r="G196">
        <f t="shared" si="3"/>
        <v>2020</v>
      </c>
    </row>
    <row r="197" spans="1:7" x14ac:dyDescent="0.25">
      <c r="A197" s="8">
        <v>44027</v>
      </c>
      <c r="B197" s="9" t="s">
        <v>212</v>
      </c>
      <c r="C197" s="9" t="s">
        <v>11</v>
      </c>
      <c r="D197" s="9">
        <v>565.07000000000005</v>
      </c>
      <c r="E197" s="9" t="s">
        <v>7</v>
      </c>
      <c r="F197" s="12">
        <f>YEAR(Personal_Finance_Dataset[[#This Row],[Date]])</f>
        <v>2020</v>
      </c>
      <c r="G197">
        <f t="shared" si="3"/>
        <v>2020</v>
      </c>
    </row>
    <row r="198" spans="1:7" x14ac:dyDescent="0.25">
      <c r="A198" s="8">
        <v>44028</v>
      </c>
      <c r="B198" s="9" t="s">
        <v>213</v>
      </c>
      <c r="C198" s="9" t="s">
        <v>27</v>
      </c>
      <c r="D198" s="9">
        <v>1144</v>
      </c>
      <c r="E198" s="9" t="s">
        <v>7</v>
      </c>
      <c r="F198" s="12">
        <f>YEAR(Personal_Finance_Dataset[[#This Row],[Date]])</f>
        <v>2020</v>
      </c>
      <c r="G198">
        <f t="shared" si="3"/>
        <v>2020</v>
      </c>
    </row>
    <row r="199" spans="1:7" x14ac:dyDescent="0.25">
      <c r="A199" s="8">
        <v>44029</v>
      </c>
      <c r="B199" s="9" t="s">
        <v>214</v>
      </c>
      <c r="C199" s="9" t="s">
        <v>25</v>
      </c>
      <c r="D199" s="9">
        <v>67.11</v>
      </c>
      <c r="E199" s="9" t="s">
        <v>7</v>
      </c>
      <c r="F199" s="12">
        <f>YEAR(Personal_Finance_Dataset[[#This Row],[Date]])</f>
        <v>2020</v>
      </c>
      <c r="G199">
        <f t="shared" si="3"/>
        <v>2020</v>
      </c>
    </row>
    <row r="200" spans="1:7" x14ac:dyDescent="0.25">
      <c r="A200" s="8">
        <v>44030</v>
      </c>
      <c r="B200" s="9" t="s">
        <v>215</v>
      </c>
      <c r="C200" s="9" t="s">
        <v>9</v>
      </c>
      <c r="D200" s="9">
        <v>980.22</v>
      </c>
      <c r="E200" s="9" t="s">
        <v>7</v>
      </c>
      <c r="F200" s="12">
        <f>YEAR(Personal_Finance_Dataset[[#This Row],[Date]])</f>
        <v>2020</v>
      </c>
      <c r="G200">
        <f t="shared" si="3"/>
        <v>2020</v>
      </c>
    </row>
    <row r="201" spans="1:7" x14ac:dyDescent="0.25">
      <c r="A201" s="8">
        <v>44031</v>
      </c>
      <c r="B201" s="9" t="s">
        <v>216</v>
      </c>
      <c r="C201" s="9" t="s">
        <v>35</v>
      </c>
      <c r="D201" s="9">
        <v>687.27</v>
      </c>
      <c r="E201" s="9" t="s">
        <v>7</v>
      </c>
      <c r="F201" s="12">
        <f>YEAR(Personal_Finance_Dataset[[#This Row],[Date]])</f>
        <v>2020</v>
      </c>
      <c r="G201">
        <f t="shared" si="3"/>
        <v>2020</v>
      </c>
    </row>
    <row r="202" spans="1:7" x14ac:dyDescent="0.25">
      <c r="A202" s="8">
        <v>44032</v>
      </c>
      <c r="B202" s="9" t="s">
        <v>217</v>
      </c>
      <c r="C202" s="9" t="s">
        <v>35</v>
      </c>
      <c r="D202" s="9">
        <v>1116.02</v>
      </c>
      <c r="E202" s="9" t="s">
        <v>7</v>
      </c>
      <c r="F202" s="12">
        <f>YEAR(Personal_Finance_Dataset[[#This Row],[Date]])</f>
        <v>2020</v>
      </c>
      <c r="G202">
        <f t="shared" si="3"/>
        <v>2020</v>
      </c>
    </row>
    <row r="203" spans="1:7" x14ac:dyDescent="0.25">
      <c r="A203" s="8">
        <v>44033</v>
      </c>
      <c r="B203" s="9" t="s">
        <v>218</v>
      </c>
      <c r="C203" s="9" t="s">
        <v>22</v>
      </c>
      <c r="D203" s="9">
        <v>180.37</v>
      </c>
      <c r="E203" s="9" t="s">
        <v>7</v>
      </c>
      <c r="F203" s="12">
        <f>YEAR(Personal_Finance_Dataset[[#This Row],[Date]])</f>
        <v>2020</v>
      </c>
      <c r="G203">
        <f t="shared" si="3"/>
        <v>2020</v>
      </c>
    </row>
    <row r="204" spans="1:7" x14ac:dyDescent="0.25">
      <c r="A204" s="8">
        <v>44034</v>
      </c>
      <c r="B204" s="9" t="s">
        <v>219</v>
      </c>
      <c r="C204" s="9" t="s">
        <v>27</v>
      </c>
      <c r="D204" s="9">
        <v>1114.8</v>
      </c>
      <c r="E204" s="9" t="s">
        <v>7</v>
      </c>
      <c r="F204" s="12">
        <f>YEAR(Personal_Finance_Dataset[[#This Row],[Date]])</f>
        <v>2020</v>
      </c>
      <c r="G204">
        <f t="shared" si="3"/>
        <v>2020</v>
      </c>
    </row>
    <row r="205" spans="1:7" x14ac:dyDescent="0.25">
      <c r="A205" s="8">
        <v>44035</v>
      </c>
      <c r="B205" s="9" t="s">
        <v>220</v>
      </c>
      <c r="C205" s="9" t="s">
        <v>27</v>
      </c>
      <c r="D205" s="9">
        <v>1295.3499999999999</v>
      </c>
      <c r="E205" s="9" t="s">
        <v>7</v>
      </c>
      <c r="F205" s="12">
        <f>YEAR(Personal_Finance_Dataset[[#This Row],[Date]])</f>
        <v>2020</v>
      </c>
      <c r="G205">
        <f t="shared" si="3"/>
        <v>2020</v>
      </c>
    </row>
    <row r="206" spans="1:7" x14ac:dyDescent="0.25">
      <c r="A206" s="8">
        <v>44036</v>
      </c>
      <c r="B206" s="9" t="s">
        <v>221</v>
      </c>
      <c r="C206" s="9" t="s">
        <v>6</v>
      </c>
      <c r="D206" s="9">
        <v>195.18</v>
      </c>
      <c r="E206" s="9" t="s">
        <v>7</v>
      </c>
      <c r="F206" s="12">
        <f>YEAR(Personal_Finance_Dataset[[#This Row],[Date]])</f>
        <v>2020</v>
      </c>
      <c r="G206">
        <f t="shared" si="3"/>
        <v>2020</v>
      </c>
    </row>
    <row r="207" spans="1:7" x14ac:dyDescent="0.25">
      <c r="A207" s="8">
        <v>44037</v>
      </c>
      <c r="B207" s="9" t="s">
        <v>222</v>
      </c>
      <c r="C207" s="9" t="s">
        <v>22</v>
      </c>
      <c r="D207" s="9">
        <v>619.35</v>
      </c>
      <c r="E207" s="9" t="s">
        <v>7</v>
      </c>
      <c r="F207" s="12">
        <f>YEAR(Personal_Finance_Dataset[[#This Row],[Date]])</f>
        <v>2020</v>
      </c>
      <c r="G207">
        <f t="shared" si="3"/>
        <v>2020</v>
      </c>
    </row>
    <row r="208" spans="1:7" x14ac:dyDescent="0.25">
      <c r="A208" s="8">
        <v>44038</v>
      </c>
      <c r="B208" s="9" t="s">
        <v>223</v>
      </c>
      <c r="C208" s="9" t="s">
        <v>27</v>
      </c>
      <c r="D208" s="9">
        <v>1111.4100000000001</v>
      </c>
      <c r="E208" s="9" t="s">
        <v>7</v>
      </c>
      <c r="F208" s="12">
        <f>YEAR(Personal_Finance_Dataset[[#This Row],[Date]])</f>
        <v>2020</v>
      </c>
      <c r="G208">
        <f t="shared" si="3"/>
        <v>2020</v>
      </c>
    </row>
    <row r="209" spans="1:7" x14ac:dyDescent="0.25">
      <c r="A209" s="8">
        <v>44039</v>
      </c>
      <c r="B209" s="9" t="s">
        <v>224</v>
      </c>
      <c r="C209" s="9" t="s">
        <v>25</v>
      </c>
      <c r="D209" s="9">
        <v>710.1</v>
      </c>
      <c r="E209" s="9" t="s">
        <v>7</v>
      </c>
      <c r="F209" s="12">
        <f>YEAR(Personal_Finance_Dataset[[#This Row],[Date]])</f>
        <v>2020</v>
      </c>
      <c r="G209">
        <f t="shared" si="3"/>
        <v>2020</v>
      </c>
    </row>
    <row r="210" spans="1:7" x14ac:dyDescent="0.25">
      <c r="A210" s="8">
        <v>44040</v>
      </c>
      <c r="B210" s="9" t="s">
        <v>225</v>
      </c>
      <c r="C210" s="9" t="s">
        <v>35</v>
      </c>
      <c r="D210" s="9">
        <v>510.29</v>
      </c>
      <c r="E210" s="9" t="s">
        <v>7</v>
      </c>
      <c r="F210" s="12">
        <f>YEAR(Personal_Finance_Dataset[[#This Row],[Date]])</f>
        <v>2020</v>
      </c>
      <c r="G210">
        <f t="shared" si="3"/>
        <v>2020</v>
      </c>
    </row>
    <row r="211" spans="1:7" x14ac:dyDescent="0.25">
      <c r="A211" s="8">
        <v>44041</v>
      </c>
      <c r="B211" s="9" t="s">
        <v>226</v>
      </c>
      <c r="C211" s="9" t="s">
        <v>13</v>
      </c>
      <c r="D211" s="9">
        <v>3084</v>
      </c>
      <c r="E211" s="9" t="s">
        <v>14</v>
      </c>
      <c r="F211" s="12">
        <f>YEAR(Personal_Finance_Dataset[[#This Row],[Date]])</f>
        <v>2020</v>
      </c>
      <c r="G211">
        <f t="shared" si="3"/>
        <v>2020</v>
      </c>
    </row>
    <row r="212" spans="1:7" x14ac:dyDescent="0.25">
      <c r="A212" s="8">
        <v>44042</v>
      </c>
      <c r="B212" s="9" t="s">
        <v>227</v>
      </c>
      <c r="C212" s="9" t="s">
        <v>13</v>
      </c>
      <c r="D212" s="9">
        <v>2069</v>
      </c>
      <c r="E212" s="9" t="s">
        <v>14</v>
      </c>
      <c r="F212" s="12">
        <f>YEAR(Personal_Finance_Dataset[[#This Row],[Date]])</f>
        <v>2020</v>
      </c>
      <c r="G212">
        <f t="shared" si="3"/>
        <v>2020</v>
      </c>
    </row>
    <row r="213" spans="1:7" x14ac:dyDescent="0.25">
      <c r="A213" s="8">
        <v>44043</v>
      </c>
      <c r="B213" s="9" t="s">
        <v>228</v>
      </c>
      <c r="C213" s="9" t="s">
        <v>27</v>
      </c>
      <c r="D213" s="9">
        <v>560.23</v>
      </c>
      <c r="E213" s="9" t="s">
        <v>7</v>
      </c>
      <c r="F213" s="12">
        <f>YEAR(Personal_Finance_Dataset[[#This Row],[Date]])</f>
        <v>2020</v>
      </c>
      <c r="G213">
        <f t="shared" si="3"/>
        <v>2020</v>
      </c>
    </row>
    <row r="214" spans="1:7" x14ac:dyDescent="0.25">
      <c r="A214" s="8">
        <v>44044</v>
      </c>
      <c r="B214" s="9" t="s">
        <v>229</v>
      </c>
      <c r="C214" s="9" t="s">
        <v>35</v>
      </c>
      <c r="D214" s="9">
        <v>1961.22</v>
      </c>
      <c r="E214" s="9" t="s">
        <v>7</v>
      </c>
      <c r="F214" s="12">
        <f>YEAR(Personal_Finance_Dataset[[#This Row],[Date]])</f>
        <v>2020</v>
      </c>
      <c r="G214">
        <f t="shared" si="3"/>
        <v>2020</v>
      </c>
    </row>
    <row r="215" spans="1:7" x14ac:dyDescent="0.25">
      <c r="A215" s="8">
        <v>44045</v>
      </c>
      <c r="B215" s="9" t="s">
        <v>230</v>
      </c>
      <c r="C215" s="9" t="s">
        <v>35</v>
      </c>
      <c r="D215" s="9">
        <v>462.69</v>
      </c>
      <c r="E215" s="9" t="s">
        <v>7</v>
      </c>
      <c r="F215" s="12">
        <f>YEAR(Personal_Finance_Dataset[[#This Row],[Date]])</f>
        <v>2020</v>
      </c>
      <c r="G215">
        <f t="shared" si="3"/>
        <v>2020</v>
      </c>
    </row>
    <row r="216" spans="1:7" x14ac:dyDescent="0.25">
      <c r="A216" s="8">
        <v>44046</v>
      </c>
      <c r="B216" s="9" t="s">
        <v>231</v>
      </c>
      <c r="C216" s="9" t="s">
        <v>13</v>
      </c>
      <c r="D216" s="9">
        <v>4875</v>
      </c>
      <c r="E216" s="9" t="s">
        <v>14</v>
      </c>
      <c r="F216" s="12">
        <f>YEAR(Personal_Finance_Dataset[[#This Row],[Date]])</f>
        <v>2020</v>
      </c>
      <c r="G216">
        <f t="shared" si="3"/>
        <v>2020</v>
      </c>
    </row>
    <row r="217" spans="1:7" x14ac:dyDescent="0.25">
      <c r="A217" s="8">
        <v>44047</v>
      </c>
      <c r="B217" s="9" t="s">
        <v>232</v>
      </c>
      <c r="C217" s="9" t="s">
        <v>13</v>
      </c>
      <c r="D217" s="9">
        <v>946</v>
      </c>
      <c r="E217" s="9" t="s">
        <v>14</v>
      </c>
      <c r="F217" s="12">
        <f>YEAR(Personal_Finance_Dataset[[#This Row],[Date]])</f>
        <v>2020</v>
      </c>
      <c r="G217">
        <f t="shared" si="3"/>
        <v>2020</v>
      </c>
    </row>
    <row r="218" spans="1:7" x14ac:dyDescent="0.25">
      <c r="A218" s="8">
        <v>44048</v>
      </c>
      <c r="B218" s="9" t="s">
        <v>233</v>
      </c>
      <c r="C218" s="9" t="s">
        <v>9</v>
      </c>
      <c r="D218" s="9">
        <v>1279.3599999999999</v>
      </c>
      <c r="E218" s="9" t="s">
        <v>7</v>
      </c>
      <c r="F218" s="12">
        <f>YEAR(Personal_Finance_Dataset[[#This Row],[Date]])</f>
        <v>2020</v>
      </c>
      <c r="G218">
        <f t="shared" si="3"/>
        <v>2020</v>
      </c>
    </row>
    <row r="219" spans="1:7" x14ac:dyDescent="0.25">
      <c r="A219" s="8">
        <v>44049</v>
      </c>
      <c r="B219" s="9" t="s">
        <v>234</v>
      </c>
      <c r="C219" s="9" t="s">
        <v>11</v>
      </c>
      <c r="D219" s="9">
        <v>1746.71</v>
      </c>
      <c r="E219" s="9" t="s">
        <v>7</v>
      </c>
      <c r="F219" s="12">
        <f>YEAR(Personal_Finance_Dataset[[#This Row],[Date]])</f>
        <v>2020</v>
      </c>
      <c r="G219">
        <f t="shared" si="3"/>
        <v>2020</v>
      </c>
    </row>
    <row r="220" spans="1:7" x14ac:dyDescent="0.25">
      <c r="A220" s="8">
        <v>44050</v>
      </c>
      <c r="B220" s="9" t="s">
        <v>235</v>
      </c>
      <c r="C220" s="9" t="s">
        <v>27</v>
      </c>
      <c r="D220" s="9">
        <v>962.64</v>
      </c>
      <c r="E220" s="9" t="s">
        <v>7</v>
      </c>
      <c r="F220" s="12">
        <f>YEAR(Personal_Finance_Dataset[[#This Row],[Date]])</f>
        <v>2020</v>
      </c>
      <c r="G220">
        <f t="shared" si="3"/>
        <v>2020</v>
      </c>
    </row>
    <row r="221" spans="1:7" x14ac:dyDescent="0.25">
      <c r="A221" s="8">
        <v>44051</v>
      </c>
      <c r="B221" s="9" t="s">
        <v>236</v>
      </c>
      <c r="C221" s="9" t="s">
        <v>6</v>
      </c>
      <c r="D221" s="9">
        <v>512.42999999999995</v>
      </c>
      <c r="E221" s="9" t="s">
        <v>7</v>
      </c>
      <c r="F221" s="12">
        <f>YEAR(Personal_Finance_Dataset[[#This Row],[Date]])</f>
        <v>2020</v>
      </c>
      <c r="G221">
        <f t="shared" si="3"/>
        <v>2020</v>
      </c>
    </row>
    <row r="222" spans="1:7" x14ac:dyDescent="0.25">
      <c r="A222" s="8">
        <v>44052</v>
      </c>
      <c r="B222" s="9" t="s">
        <v>237</v>
      </c>
      <c r="C222" s="9" t="s">
        <v>11</v>
      </c>
      <c r="D222" s="9">
        <v>1646.01</v>
      </c>
      <c r="E222" s="9" t="s">
        <v>7</v>
      </c>
      <c r="F222" s="12">
        <f>YEAR(Personal_Finance_Dataset[[#This Row],[Date]])</f>
        <v>2020</v>
      </c>
      <c r="G222">
        <f t="shared" si="3"/>
        <v>2020</v>
      </c>
    </row>
    <row r="223" spans="1:7" x14ac:dyDescent="0.25">
      <c r="A223" s="8">
        <v>44053</v>
      </c>
      <c r="B223" s="9" t="s">
        <v>238</v>
      </c>
      <c r="C223" s="9" t="s">
        <v>11</v>
      </c>
      <c r="D223" s="9">
        <v>1158.27</v>
      </c>
      <c r="E223" s="9" t="s">
        <v>7</v>
      </c>
      <c r="F223" s="12">
        <f>YEAR(Personal_Finance_Dataset[[#This Row],[Date]])</f>
        <v>2020</v>
      </c>
      <c r="G223">
        <f t="shared" si="3"/>
        <v>2020</v>
      </c>
    </row>
    <row r="224" spans="1:7" x14ac:dyDescent="0.25">
      <c r="A224" s="8">
        <v>44054</v>
      </c>
      <c r="B224" s="9" t="s">
        <v>239</v>
      </c>
      <c r="C224" s="9" t="s">
        <v>9</v>
      </c>
      <c r="D224" s="9">
        <v>306.89999999999998</v>
      </c>
      <c r="E224" s="9" t="s">
        <v>7</v>
      </c>
      <c r="F224" s="12">
        <f>YEAR(Personal_Finance_Dataset[[#This Row],[Date]])</f>
        <v>2020</v>
      </c>
      <c r="G224">
        <f t="shared" si="3"/>
        <v>2020</v>
      </c>
    </row>
    <row r="225" spans="1:7" x14ac:dyDescent="0.25">
      <c r="A225" s="8">
        <v>44055</v>
      </c>
      <c r="B225" s="9" t="s">
        <v>240</v>
      </c>
      <c r="C225" s="9" t="s">
        <v>35</v>
      </c>
      <c r="D225" s="9">
        <v>179.51</v>
      </c>
      <c r="E225" s="9" t="s">
        <v>7</v>
      </c>
      <c r="F225" s="12">
        <f>YEAR(Personal_Finance_Dataset[[#This Row],[Date]])</f>
        <v>2020</v>
      </c>
      <c r="G225">
        <f t="shared" si="3"/>
        <v>2020</v>
      </c>
    </row>
    <row r="226" spans="1:7" x14ac:dyDescent="0.25">
      <c r="A226" s="8">
        <v>44056</v>
      </c>
      <c r="B226" s="9" t="s">
        <v>241</v>
      </c>
      <c r="C226" s="9" t="s">
        <v>17</v>
      </c>
      <c r="D226" s="9">
        <v>1216.57</v>
      </c>
      <c r="E226" s="9" t="s">
        <v>7</v>
      </c>
      <c r="F226" s="12">
        <f>YEAR(Personal_Finance_Dataset[[#This Row],[Date]])</f>
        <v>2020</v>
      </c>
      <c r="G226">
        <f t="shared" si="3"/>
        <v>2020</v>
      </c>
    </row>
    <row r="227" spans="1:7" x14ac:dyDescent="0.25">
      <c r="A227" s="8">
        <v>44057</v>
      </c>
      <c r="B227" s="9" t="s">
        <v>242</v>
      </c>
      <c r="C227" s="9" t="s">
        <v>22</v>
      </c>
      <c r="D227" s="9">
        <v>1553.63</v>
      </c>
      <c r="E227" s="9" t="s">
        <v>7</v>
      </c>
      <c r="F227" s="12">
        <f>YEAR(Personal_Finance_Dataset[[#This Row],[Date]])</f>
        <v>2020</v>
      </c>
      <c r="G227">
        <f t="shared" si="3"/>
        <v>2020</v>
      </c>
    </row>
    <row r="228" spans="1:7" x14ac:dyDescent="0.25">
      <c r="A228" s="8">
        <v>44058</v>
      </c>
      <c r="B228" s="9" t="s">
        <v>243</v>
      </c>
      <c r="C228" s="9" t="s">
        <v>27</v>
      </c>
      <c r="D228" s="9">
        <v>601.73</v>
      </c>
      <c r="E228" s="9" t="s">
        <v>7</v>
      </c>
      <c r="F228" s="12">
        <f>YEAR(Personal_Finance_Dataset[[#This Row],[Date]])</f>
        <v>2020</v>
      </c>
      <c r="G228">
        <f t="shared" si="3"/>
        <v>2020</v>
      </c>
    </row>
    <row r="229" spans="1:7" x14ac:dyDescent="0.25">
      <c r="A229" s="8">
        <v>44059</v>
      </c>
      <c r="B229" s="9" t="s">
        <v>244</v>
      </c>
      <c r="C229" s="9" t="s">
        <v>17</v>
      </c>
      <c r="D229" s="9">
        <v>617.71</v>
      </c>
      <c r="E229" s="9" t="s">
        <v>7</v>
      </c>
      <c r="F229" s="12">
        <f>YEAR(Personal_Finance_Dataset[[#This Row],[Date]])</f>
        <v>2020</v>
      </c>
      <c r="G229">
        <f t="shared" si="3"/>
        <v>2020</v>
      </c>
    </row>
    <row r="230" spans="1:7" x14ac:dyDescent="0.25">
      <c r="A230" s="8">
        <v>44060</v>
      </c>
      <c r="B230" s="9" t="s">
        <v>245</v>
      </c>
      <c r="C230" s="9" t="s">
        <v>11</v>
      </c>
      <c r="D230" s="9">
        <v>1895.7</v>
      </c>
      <c r="E230" s="9" t="s">
        <v>7</v>
      </c>
      <c r="F230" s="12">
        <f>YEAR(Personal_Finance_Dataset[[#This Row],[Date]])</f>
        <v>2020</v>
      </c>
      <c r="G230">
        <f t="shared" si="3"/>
        <v>2020</v>
      </c>
    </row>
    <row r="231" spans="1:7" x14ac:dyDescent="0.25">
      <c r="A231" s="8">
        <v>44061</v>
      </c>
      <c r="B231" s="9" t="s">
        <v>246</v>
      </c>
      <c r="C231" s="9" t="s">
        <v>22</v>
      </c>
      <c r="D231" s="9">
        <v>536.65</v>
      </c>
      <c r="E231" s="9" t="s">
        <v>7</v>
      </c>
      <c r="F231" s="12">
        <f>YEAR(Personal_Finance_Dataset[[#This Row],[Date]])</f>
        <v>2020</v>
      </c>
      <c r="G231">
        <f t="shared" si="3"/>
        <v>2020</v>
      </c>
    </row>
    <row r="232" spans="1:7" x14ac:dyDescent="0.25">
      <c r="A232" s="8">
        <v>44062</v>
      </c>
      <c r="B232" s="9" t="s">
        <v>247</v>
      </c>
      <c r="C232" s="9" t="s">
        <v>13</v>
      </c>
      <c r="D232" s="9">
        <v>1923</v>
      </c>
      <c r="E232" s="9" t="s">
        <v>14</v>
      </c>
      <c r="F232" s="12">
        <f>YEAR(Personal_Finance_Dataset[[#This Row],[Date]])</f>
        <v>2020</v>
      </c>
      <c r="G232">
        <f t="shared" si="3"/>
        <v>2020</v>
      </c>
    </row>
    <row r="233" spans="1:7" x14ac:dyDescent="0.25">
      <c r="A233" s="8">
        <v>44063</v>
      </c>
      <c r="B233" s="9" t="s">
        <v>248</v>
      </c>
      <c r="C233" s="9" t="s">
        <v>9</v>
      </c>
      <c r="D233" s="9">
        <v>15.32</v>
      </c>
      <c r="E233" s="9" t="s">
        <v>7</v>
      </c>
      <c r="F233" s="12">
        <f>YEAR(Personal_Finance_Dataset[[#This Row],[Date]])</f>
        <v>2020</v>
      </c>
      <c r="G233">
        <f t="shared" si="3"/>
        <v>2020</v>
      </c>
    </row>
    <row r="234" spans="1:7" x14ac:dyDescent="0.25">
      <c r="A234" s="8">
        <v>44064</v>
      </c>
      <c r="B234" s="9" t="s">
        <v>249</v>
      </c>
      <c r="C234" s="9" t="s">
        <v>27</v>
      </c>
      <c r="D234" s="9">
        <v>589.61</v>
      </c>
      <c r="E234" s="9" t="s">
        <v>7</v>
      </c>
      <c r="F234" s="12">
        <f>YEAR(Personal_Finance_Dataset[[#This Row],[Date]])</f>
        <v>2020</v>
      </c>
      <c r="G234">
        <f t="shared" si="3"/>
        <v>2020</v>
      </c>
    </row>
    <row r="235" spans="1:7" x14ac:dyDescent="0.25">
      <c r="A235" s="8">
        <v>44065</v>
      </c>
      <c r="B235" s="9" t="s">
        <v>250</v>
      </c>
      <c r="C235" s="9" t="s">
        <v>35</v>
      </c>
      <c r="D235" s="9">
        <v>1408.95</v>
      </c>
      <c r="E235" s="9" t="s">
        <v>7</v>
      </c>
      <c r="F235" s="12">
        <f>YEAR(Personal_Finance_Dataset[[#This Row],[Date]])</f>
        <v>2020</v>
      </c>
      <c r="G235">
        <f t="shared" si="3"/>
        <v>2020</v>
      </c>
    </row>
    <row r="236" spans="1:7" x14ac:dyDescent="0.25">
      <c r="A236" s="8">
        <v>44066</v>
      </c>
      <c r="B236" s="9" t="s">
        <v>251</v>
      </c>
      <c r="C236" s="9" t="s">
        <v>22</v>
      </c>
      <c r="D236" s="9">
        <v>1848.58</v>
      </c>
      <c r="E236" s="9" t="s">
        <v>7</v>
      </c>
      <c r="F236" s="12">
        <f>YEAR(Personal_Finance_Dataset[[#This Row],[Date]])</f>
        <v>2020</v>
      </c>
      <c r="G236">
        <f t="shared" si="3"/>
        <v>2020</v>
      </c>
    </row>
    <row r="237" spans="1:7" x14ac:dyDescent="0.25">
      <c r="A237" s="8">
        <v>44067</v>
      </c>
      <c r="B237" s="9" t="s">
        <v>252</v>
      </c>
      <c r="C237" s="9" t="s">
        <v>22</v>
      </c>
      <c r="D237" s="9">
        <v>856.03</v>
      </c>
      <c r="E237" s="9" t="s">
        <v>7</v>
      </c>
      <c r="F237" s="12">
        <f>YEAR(Personal_Finance_Dataset[[#This Row],[Date]])</f>
        <v>2020</v>
      </c>
      <c r="G237">
        <f t="shared" si="3"/>
        <v>2020</v>
      </c>
    </row>
    <row r="238" spans="1:7" x14ac:dyDescent="0.25">
      <c r="A238" s="8">
        <v>44068</v>
      </c>
      <c r="B238" s="9" t="s">
        <v>253</v>
      </c>
      <c r="C238" s="9" t="s">
        <v>9</v>
      </c>
      <c r="D238" s="9">
        <v>1817.74</v>
      </c>
      <c r="E238" s="9" t="s">
        <v>7</v>
      </c>
      <c r="F238" s="12">
        <f>YEAR(Personal_Finance_Dataset[[#This Row],[Date]])</f>
        <v>2020</v>
      </c>
      <c r="G238">
        <f t="shared" si="3"/>
        <v>2020</v>
      </c>
    </row>
    <row r="239" spans="1:7" x14ac:dyDescent="0.25">
      <c r="A239" s="8">
        <v>44069</v>
      </c>
      <c r="B239" s="9" t="s">
        <v>254</v>
      </c>
      <c r="C239" s="9" t="s">
        <v>11</v>
      </c>
      <c r="D239" s="9">
        <v>128.68</v>
      </c>
      <c r="E239" s="9" t="s">
        <v>7</v>
      </c>
      <c r="F239" s="12">
        <f>YEAR(Personal_Finance_Dataset[[#This Row],[Date]])</f>
        <v>2020</v>
      </c>
      <c r="G239">
        <f t="shared" si="3"/>
        <v>2020</v>
      </c>
    </row>
    <row r="240" spans="1:7" x14ac:dyDescent="0.25">
      <c r="A240" s="8">
        <v>44070</v>
      </c>
      <c r="B240" s="9" t="s">
        <v>255</v>
      </c>
      <c r="C240" s="9" t="s">
        <v>35</v>
      </c>
      <c r="D240" s="9">
        <v>883.92</v>
      </c>
      <c r="E240" s="9" t="s">
        <v>7</v>
      </c>
      <c r="F240" s="12">
        <f>YEAR(Personal_Finance_Dataset[[#This Row],[Date]])</f>
        <v>2020</v>
      </c>
      <c r="G240">
        <f t="shared" si="3"/>
        <v>2020</v>
      </c>
    </row>
    <row r="241" spans="1:7" x14ac:dyDescent="0.25">
      <c r="A241" s="8">
        <v>44071</v>
      </c>
      <c r="B241" s="9" t="s">
        <v>256</v>
      </c>
      <c r="C241" s="9" t="s">
        <v>35</v>
      </c>
      <c r="D241" s="9">
        <v>1402.47</v>
      </c>
      <c r="E241" s="9" t="s">
        <v>7</v>
      </c>
      <c r="F241" s="12">
        <f>YEAR(Personal_Finance_Dataset[[#This Row],[Date]])</f>
        <v>2020</v>
      </c>
      <c r="G241">
        <f t="shared" si="3"/>
        <v>2020</v>
      </c>
    </row>
    <row r="242" spans="1:7" x14ac:dyDescent="0.25">
      <c r="A242" s="8">
        <v>44072</v>
      </c>
      <c r="B242" s="9" t="s">
        <v>257</v>
      </c>
      <c r="C242" s="9" t="s">
        <v>27</v>
      </c>
      <c r="D242" s="9">
        <v>881.14</v>
      </c>
      <c r="E242" s="9" t="s">
        <v>7</v>
      </c>
      <c r="F242" s="12">
        <f>YEAR(Personal_Finance_Dataset[[#This Row],[Date]])</f>
        <v>2020</v>
      </c>
      <c r="G242">
        <f t="shared" si="3"/>
        <v>2020</v>
      </c>
    </row>
    <row r="243" spans="1:7" x14ac:dyDescent="0.25">
      <c r="A243" s="8">
        <v>44073</v>
      </c>
      <c r="B243" s="9" t="s">
        <v>258</v>
      </c>
      <c r="C243" s="9" t="s">
        <v>17</v>
      </c>
      <c r="D243" s="9">
        <v>1471.72</v>
      </c>
      <c r="E243" s="9" t="s">
        <v>7</v>
      </c>
      <c r="F243" s="12">
        <f>YEAR(Personal_Finance_Dataset[[#This Row],[Date]])</f>
        <v>2020</v>
      </c>
      <c r="G243">
        <f t="shared" si="3"/>
        <v>2020</v>
      </c>
    </row>
    <row r="244" spans="1:7" x14ac:dyDescent="0.25">
      <c r="A244" s="8">
        <v>44074</v>
      </c>
      <c r="B244" s="9" t="s">
        <v>259</v>
      </c>
      <c r="C244" s="9" t="s">
        <v>6</v>
      </c>
      <c r="D244" s="9">
        <v>191.74</v>
      </c>
      <c r="E244" s="9" t="s">
        <v>7</v>
      </c>
      <c r="F244" s="12">
        <f>YEAR(Personal_Finance_Dataset[[#This Row],[Date]])</f>
        <v>2020</v>
      </c>
      <c r="G244">
        <f t="shared" si="3"/>
        <v>2020</v>
      </c>
    </row>
    <row r="245" spans="1:7" x14ac:dyDescent="0.25">
      <c r="A245" s="8">
        <v>44075</v>
      </c>
      <c r="B245" s="9" t="s">
        <v>260</v>
      </c>
      <c r="C245" s="9" t="s">
        <v>6</v>
      </c>
      <c r="D245" s="9">
        <v>1999.15</v>
      </c>
      <c r="E245" s="9" t="s">
        <v>7</v>
      </c>
      <c r="F245" s="12">
        <f>YEAR(Personal_Finance_Dataset[[#This Row],[Date]])</f>
        <v>2020</v>
      </c>
      <c r="G245">
        <f t="shared" si="3"/>
        <v>2020</v>
      </c>
    </row>
    <row r="246" spans="1:7" x14ac:dyDescent="0.25">
      <c r="A246" s="8">
        <v>44076</v>
      </c>
      <c r="B246" s="9" t="s">
        <v>261</v>
      </c>
      <c r="C246" s="9" t="s">
        <v>35</v>
      </c>
      <c r="D246" s="9">
        <v>1156.73</v>
      </c>
      <c r="E246" s="9" t="s">
        <v>7</v>
      </c>
      <c r="F246" s="12">
        <f>YEAR(Personal_Finance_Dataset[[#This Row],[Date]])</f>
        <v>2020</v>
      </c>
      <c r="G246">
        <f t="shared" si="3"/>
        <v>2020</v>
      </c>
    </row>
    <row r="247" spans="1:7" x14ac:dyDescent="0.25">
      <c r="A247" s="8">
        <v>44077</v>
      </c>
      <c r="B247" s="9" t="s">
        <v>262</v>
      </c>
      <c r="C247" s="9" t="s">
        <v>9</v>
      </c>
      <c r="D247" s="9">
        <v>946.3</v>
      </c>
      <c r="E247" s="9" t="s">
        <v>7</v>
      </c>
      <c r="F247" s="12">
        <f>YEAR(Personal_Finance_Dataset[[#This Row],[Date]])</f>
        <v>2020</v>
      </c>
      <c r="G247">
        <f t="shared" si="3"/>
        <v>2020</v>
      </c>
    </row>
    <row r="248" spans="1:7" x14ac:dyDescent="0.25">
      <c r="A248" s="8">
        <v>44078</v>
      </c>
      <c r="B248" s="9" t="s">
        <v>263</v>
      </c>
      <c r="C248" s="9" t="s">
        <v>35</v>
      </c>
      <c r="D248" s="9">
        <v>371.16</v>
      </c>
      <c r="E248" s="9" t="s">
        <v>7</v>
      </c>
      <c r="F248" s="12">
        <f>YEAR(Personal_Finance_Dataset[[#This Row],[Date]])</f>
        <v>2020</v>
      </c>
      <c r="G248">
        <f t="shared" si="3"/>
        <v>2020</v>
      </c>
    </row>
    <row r="249" spans="1:7" x14ac:dyDescent="0.25">
      <c r="A249" s="8">
        <v>44079</v>
      </c>
      <c r="B249" s="9" t="s">
        <v>264</v>
      </c>
      <c r="C249" s="9" t="s">
        <v>27</v>
      </c>
      <c r="D249" s="9">
        <v>1938.42</v>
      </c>
      <c r="E249" s="9" t="s">
        <v>7</v>
      </c>
      <c r="F249" s="12">
        <f>YEAR(Personal_Finance_Dataset[[#This Row],[Date]])</f>
        <v>2020</v>
      </c>
      <c r="G249">
        <f t="shared" si="3"/>
        <v>2020</v>
      </c>
    </row>
    <row r="250" spans="1:7" x14ac:dyDescent="0.25">
      <c r="A250" s="8">
        <v>44080</v>
      </c>
      <c r="B250" s="9" t="s">
        <v>265</v>
      </c>
      <c r="C250" s="9" t="s">
        <v>17</v>
      </c>
      <c r="D250" s="9">
        <v>673.28</v>
      </c>
      <c r="E250" s="9" t="s">
        <v>7</v>
      </c>
      <c r="F250" s="12">
        <f>YEAR(Personal_Finance_Dataset[[#This Row],[Date]])</f>
        <v>2020</v>
      </c>
      <c r="G250">
        <f t="shared" si="3"/>
        <v>2020</v>
      </c>
    </row>
    <row r="251" spans="1:7" x14ac:dyDescent="0.25">
      <c r="A251" s="8">
        <v>44081</v>
      </c>
      <c r="B251" s="9" t="s">
        <v>266</v>
      </c>
      <c r="C251" s="9" t="s">
        <v>9</v>
      </c>
      <c r="D251" s="9">
        <v>666.31</v>
      </c>
      <c r="E251" s="9" t="s">
        <v>7</v>
      </c>
      <c r="F251" s="12">
        <f>YEAR(Personal_Finance_Dataset[[#This Row],[Date]])</f>
        <v>2020</v>
      </c>
      <c r="G251">
        <f t="shared" si="3"/>
        <v>2020</v>
      </c>
    </row>
    <row r="252" spans="1:7" x14ac:dyDescent="0.25">
      <c r="A252" s="8">
        <v>44082</v>
      </c>
      <c r="B252" s="9" t="s">
        <v>267</v>
      </c>
      <c r="C252" s="9" t="s">
        <v>35</v>
      </c>
      <c r="D252" s="9">
        <v>1328.54</v>
      </c>
      <c r="E252" s="9" t="s">
        <v>7</v>
      </c>
      <c r="F252" s="12">
        <f>YEAR(Personal_Finance_Dataset[[#This Row],[Date]])</f>
        <v>2020</v>
      </c>
      <c r="G252">
        <f t="shared" si="3"/>
        <v>2020</v>
      </c>
    </row>
    <row r="253" spans="1:7" x14ac:dyDescent="0.25">
      <c r="A253" s="8">
        <v>44083</v>
      </c>
      <c r="B253" s="9" t="s">
        <v>268</v>
      </c>
      <c r="C253" s="9" t="s">
        <v>6</v>
      </c>
      <c r="D253" s="9">
        <v>915.1</v>
      </c>
      <c r="E253" s="9" t="s">
        <v>7</v>
      </c>
      <c r="F253" s="12">
        <f>YEAR(Personal_Finance_Dataset[[#This Row],[Date]])</f>
        <v>2020</v>
      </c>
      <c r="G253">
        <f t="shared" si="3"/>
        <v>2020</v>
      </c>
    </row>
    <row r="254" spans="1:7" x14ac:dyDescent="0.25">
      <c r="A254" s="8">
        <v>44084</v>
      </c>
      <c r="B254" s="9" t="s">
        <v>269</v>
      </c>
      <c r="C254" s="9" t="s">
        <v>25</v>
      </c>
      <c r="D254" s="9">
        <v>240.68</v>
      </c>
      <c r="E254" s="9" t="s">
        <v>7</v>
      </c>
      <c r="F254" s="12">
        <f>YEAR(Personal_Finance_Dataset[[#This Row],[Date]])</f>
        <v>2020</v>
      </c>
      <c r="G254">
        <f t="shared" si="3"/>
        <v>2020</v>
      </c>
    </row>
    <row r="255" spans="1:7" x14ac:dyDescent="0.25">
      <c r="A255" s="8">
        <v>44085</v>
      </c>
      <c r="B255" s="9" t="s">
        <v>270</v>
      </c>
      <c r="C255" s="9" t="s">
        <v>6</v>
      </c>
      <c r="D255" s="9">
        <v>1318.74</v>
      </c>
      <c r="E255" s="9" t="s">
        <v>7</v>
      </c>
      <c r="F255" s="12">
        <f>YEAR(Personal_Finance_Dataset[[#This Row],[Date]])</f>
        <v>2020</v>
      </c>
      <c r="G255">
        <f t="shared" si="3"/>
        <v>2020</v>
      </c>
    </row>
    <row r="256" spans="1:7" x14ac:dyDescent="0.25">
      <c r="A256" s="8">
        <v>44086</v>
      </c>
      <c r="B256" s="9" t="s">
        <v>271</v>
      </c>
      <c r="C256" s="9" t="s">
        <v>17</v>
      </c>
      <c r="D256" s="9">
        <v>117.87</v>
      </c>
      <c r="E256" s="9" t="s">
        <v>7</v>
      </c>
      <c r="F256" s="12">
        <f>YEAR(Personal_Finance_Dataset[[#This Row],[Date]])</f>
        <v>2020</v>
      </c>
      <c r="G256">
        <f t="shared" si="3"/>
        <v>2020</v>
      </c>
    </row>
    <row r="257" spans="1:7" x14ac:dyDescent="0.25">
      <c r="A257" s="8">
        <v>44087</v>
      </c>
      <c r="B257" s="9" t="s">
        <v>272</v>
      </c>
      <c r="C257" s="9" t="s">
        <v>27</v>
      </c>
      <c r="D257" s="9">
        <v>1254.56</v>
      </c>
      <c r="E257" s="9" t="s">
        <v>7</v>
      </c>
      <c r="F257" s="12">
        <f>YEAR(Personal_Finance_Dataset[[#This Row],[Date]])</f>
        <v>2020</v>
      </c>
      <c r="G257">
        <f t="shared" si="3"/>
        <v>2020</v>
      </c>
    </row>
    <row r="258" spans="1:7" x14ac:dyDescent="0.25">
      <c r="A258" s="8">
        <v>44088</v>
      </c>
      <c r="B258" s="9" t="s">
        <v>273</v>
      </c>
      <c r="C258" s="9" t="s">
        <v>22</v>
      </c>
      <c r="D258" s="9">
        <v>541.44000000000005</v>
      </c>
      <c r="E258" s="9" t="s">
        <v>7</v>
      </c>
      <c r="F258" s="12">
        <f>YEAR(Personal_Finance_Dataset[[#This Row],[Date]])</f>
        <v>2020</v>
      </c>
      <c r="G258">
        <f t="shared" ref="G258:G321" si="4">YEAR(A258)</f>
        <v>2020</v>
      </c>
    </row>
    <row r="259" spans="1:7" x14ac:dyDescent="0.25">
      <c r="A259" s="8">
        <v>44089</v>
      </c>
      <c r="B259" s="9" t="s">
        <v>274</v>
      </c>
      <c r="C259" s="9" t="s">
        <v>20</v>
      </c>
      <c r="D259" s="9">
        <v>4089</v>
      </c>
      <c r="E259" s="9" t="s">
        <v>14</v>
      </c>
      <c r="F259" s="12">
        <f>YEAR(Personal_Finance_Dataset[[#This Row],[Date]])</f>
        <v>2020</v>
      </c>
      <c r="G259">
        <f t="shared" si="4"/>
        <v>2020</v>
      </c>
    </row>
    <row r="260" spans="1:7" x14ac:dyDescent="0.25">
      <c r="A260" s="8">
        <v>44090</v>
      </c>
      <c r="B260" s="9" t="s">
        <v>275</v>
      </c>
      <c r="C260" s="9" t="s">
        <v>27</v>
      </c>
      <c r="D260" s="9">
        <v>251.64</v>
      </c>
      <c r="E260" s="9" t="s">
        <v>7</v>
      </c>
      <c r="F260" s="12">
        <f>YEAR(Personal_Finance_Dataset[[#This Row],[Date]])</f>
        <v>2020</v>
      </c>
      <c r="G260">
        <f t="shared" si="4"/>
        <v>2020</v>
      </c>
    </row>
    <row r="261" spans="1:7" x14ac:dyDescent="0.25">
      <c r="A261" s="8">
        <v>44091</v>
      </c>
      <c r="B261" s="9" t="s">
        <v>276</v>
      </c>
      <c r="C261" s="9" t="s">
        <v>22</v>
      </c>
      <c r="D261" s="9">
        <v>1422.47</v>
      </c>
      <c r="E261" s="9" t="s">
        <v>7</v>
      </c>
      <c r="F261" s="12">
        <f>YEAR(Personal_Finance_Dataset[[#This Row],[Date]])</f>
        <v>2020</v>
      </c>
      <c r="G261">
        <f t="shared" si="4"/>
        <v>2020</v>
      </c>
    </row>
    <row r="262" spans="1:7" x14ac:dyDescent="0.25">
      <c r="A262" s="8">
        <v>44092</v>
      </c>
      <c r="B262" s="9" t="s">
        <v>277</v>
      </c>
      <c r="C262" s="9" t="s">
        <v>6</v>
      </c>
      <c r="D262" s="9">
        <v>1108.98</v>
      </c>
      <c r="E262" s="9" t="s">
        <v>7</v>
      </c>
      <c r="F262" s="12">
        <f>YEAR(Personal_Finance_Dataset[[#This Row],[Date]])</f>
        <v>2020</v>
      </c>
      <c r="G262">
        <f t="shared" si="4"/>
        <v>2020</v>
      </c>
    </row>
    <row r="263" spans="1:7" x14ac:dyDescent="0.25">
      <c r="A263" s="8">
        <v>44093</v>
      </c>
      <c r="B263" s="9" t="s">
        <v>278</v>
      </c>
      <c r="C263" s="9" t="s">
        <v>13</v>
      </c>
      <c r="D263" s="9">
        <v>4280</v>
      </c>
      <c r="E263" s="9" t="s">
        <v>14</v>
      </c>
      <c r="F263" s="12">
        <f>YEAR(Personal_Finance_Dataset[[#This Row],[Date]])</f>
        <v>2020</v>
      </c>
      <c r="G263">
        <f t="shared" si="4"/>
        <v>2020</v>
      </c>
    </row>
    <row r="264" spans="1:7" x14ac:dyDescent="0.25">
      <c r="A264" s="8">
        <v>44094</v>
      </c>
      <c r="B264" s="9" t="s">
        <v>279</v>
      </c>
      <c r="C264" s="9" t="s">
        <v>9</v>
      </c>
      <c r="D264" s="9">
        <v>1001.77</v>
      </c>
      <c r="E264" s="9" t="s">
        <v>7</v>
      </c>
      <c r="F264" s="12">
        <f>YEAR(Personal_Finance_Dataset[[#This Row],[Date]])</f>
        <v>2020</v>
      </c>
      <c r="G264">
        <f t="shared" si="4"/>
        <v>2020</v>
      </c>
    </row>
    <row r="265" spans="1:7" x14ac:dyDescent="0.25">
      <c r="A265" s="8">
        <v>44095</v>
      </c>
      <c r="B265" s="9" t="s">
        <v>280</v>
      </c>
      <c r="C265" s="9" t="s">
        <v>35</v>
      </c>
      <c r="D265" s="9">
        <v>836.83</v>
      </c>
      <c r="E265" s="9" t="s">
        <v>7</v>
      </c>
      <c r="F265" s="12">
        <f>YEAR(Personal_Finance_Dataset[[#This Row],[Date]])</f>
        <v>2020</v>
      </c>
      <c r="G265">
        <f t="shared" si="4"/>
        <v>2020</v>
      </c>
    </row>
    <row r="266" spans="1:7" x14ac:dyDescent="0.25">
      <c r="A266" s="8">
        <v>44096</v>
      </c>
      <c r="B266" s="9" t="s">
        <v>281</v>
      </c>
      <c r="C266" s="9" t="s">
        <v>27</v>
      </c>
      <c r="D266" s="9">
        <v>495.02</v>
      </c>
      <c r="E266" s="9" t="s">
        <v>7</v>
      </c>
      <c r="F266" s="12">
        <f>YEAR(Personal_Finance_Dataset[[#This Row],[Date]])</f>
        <v>2020</v>
      </c>
      <c r="G266">
        <f t="shared" si="4"/>
        <v>2020</v>
      </c>
    </row>
    <row r="267" spans="1:7" x14ac:dyDescent="0.25">
      <c r="A267" s="8">
        <v>44097</v>
      </c>
      <c r="B267" s="9" t="s">
        <v>282</v>
      </c>
      <c r="C267" s="9" t="s">
        <v>17</v>
      </c>
      <c r="D267" s="9">
        <v>389.31</v>
      </c>
      <c r="E267" s="9" t="s">
        <v>7</v>
      </c>
      <c r="F267" s="12">
        <f>YEAR(Personal_Finance_Dataset[[#This Row],[Date]])</f>
        <v>2020</v>
      </c>
      <c r="G267">
        <f t="shared" si="4"/>
        <v>2020</v>
      </c>
    </row>
    <row r="268" spans="1:7" x14ac:dyDescent="0.25">
      <c r="A268" s="8">
        <v>44098</v>
      </c>
      <c r="B268" s="9" t="s">
        <v>283</v>
      </c>
      <c r="C268" s="9" t="s">
        <v>9</v>
      </c>
      <c r="D268" s="9">
        <v>1729.41</v>
      </c>
      <c r="E268" s="9" t="s">
        <v>7</v>
      </c>
      <c r="F268" s="12">
        <f>YEAR(Personal_Finance_Dataset[[#This Row],[Date]])</f>
        <v>2020</v>
      </c>
      <c r="G268">
        <f t="shared" si="4"/>
        <v>2020</v>
      </c>
    </row>
    <row r="269" spans="1:7" x14ac:dyDescent="0.25">
      <c r="A269" s="8">
        <v>44099</v>
      </c>
      <c r="B269" s="9" t="s">
        <v>284</v>
      </c>
      <c r="C269" s="9" t="s">
        <v>17</v>
      </c>
      <c r="D269" s="9">
        <v>686.35</v>
      </c>
      <c r="E269" s="9" t="s">
        <v>7</v>
      </c>
      <c r="F269" s="12">
        <f>YEAR(Personal_Finance_Dataset[[#This Row],[Date]])</f>
        <v>2020</v>
      </c>
      <c r="G269">
        <f t="shared" si="4"/>
        <v>2020</v>
      </c>
    </row>
    <row r="270" spans="1:7" x14ac:dyDescent="0.25">
      <c r="A270" s="8">
        <v>44100</v>
      </c>
      <c r="B270" s="9" t="s">
        <v>285</v>
      </c>
      <c r="C270" s="9" t="s">
        <v>35</v>
      </c>
      <c r="D270" s="9">
        <v>1642.89</v>
      </c>
      <c r="E270" s="9" t="s">
        <v>7</v>
      </c>
      <c r="F270" s="12">
        <f>YEAR(Personal_Finance_Dataset[[#This Row],[Date]])</f>
        <v>2020</v>
      </c>
      <c r="G270">
        <f t="shared" si="4"/>
        <v>2020</v>
      </c>
    </row>
    <row r="271" spans="1:7" x14ac:dyDescent="0.25">
      <c r="A271" s="8">
        <v>44101</v>
      </c>
      <c r="B271" s="9" t="s">
        <v>286</v>
      </c>
      <c r="C271" s="9" t="s">
        <v>35</v>
      </c>
      <c r="D271" s="9">
        <v>1676.58</v>
      </c>
      <c r="E271" s="9" t="s">
        <v>7</v>
      </c>
      <c r="F271" s="12">
        <f>YEAR(Personal_Finance_Dataset[[#This Row],[Date]])</f>
        <v>2020</v>
      </c>
      <c r="G271">
        <f t="shared" si="4"/>
        <v>2020</v>
      </c>
    </row>
    <row r="272" spans="1:7" x14ac:dyDescent="0.25">
      <c r="A272" s="8">
        <v>44102</v>
      </c>
      <c r="B272" s="9" t="s">
        <v>287</v>
      </c>
      <c r="C272" s="9" t="s">
        <v>27</v>
      </c>
      <c r="D272" s="9">
        <v>1731.87</v>
      </c>
      <c r="E272" s="9" t="s">
        <v>7</v>
      </c>
      <c r="F272" s="12">
        <f>YEAR(Personal_Finance_Dataset[[#This Row],[Date]])</f>
        <v>2020</v>
      </c>
      <c r="G272">
        <f t="shared" si="4"/>
        <v>2020</v>
      </c>
    </row>
    <row r="273" spans="1:7" x14ac:dyDescent="0.25">
      <c r="A273" s="8">
        <v>44103</v>
      </c>
      <c r="B273" s="9" t="s">
        <v>288</v>
      </c>
      <c r="C273" s="9" t="s">
        <v>27</v>
      </c>
      <c r="D273" s="9">
        <v>696.8</v>
      </c>
      <c r="E273" s="9" t="s">
        <v>7</v>
      </c>
      <c r="F273" s="12">
        <f>YEAR(Personal_Finance_Dataset[[#This Row],[Date]])</f>
        <v>2020</v>
      </c>
      <c r="G273">
        <f t="shared" si="4"/>
        <v>2020</v>
      </c>
    </row>
    <row r="274" spans="1:7" x14ac:dyDescent="0.25">
      <c r="A274" s="8">
        <v>44104</v>
      </c>
      <c r="B274" s="9" t="s">
        <v>289</v>
      </c>
      <c r="C274" s="9" t="s">
        <v>17</v>
      </c>
      <c r="D274" s="9">
        <v>916.14</v>
      </c>
      <c r="E274" s="9" t="s">
        <v>7</v>
      </c>
      <c r="F274" s="12">
        <f>YEAR(Personal_Finance_Dataset[[#This Row],[Date]])</f>
        <v>2020</v>
      </c>
      <c r="G274">
        <f t="shared" si="4"/>
        <v>2020</v>
      </c>
    </row>
    <row r="275" spans="1:7" x14ac:dyDescent="0.25">
      <c r="A275" s="8">
        <v>44105</v>
      </c>
      <c r="B275" s="9" t="s">
        <v>290</v>
      </c>
      <c r="C275" s="9" t="s">
        <v>22</v>
      </c>
      <c r="D275" s="9">
        <v>1961.74</v>
      </c>
      <c r="E275" s="9" t="s">
        <v>7</v>
      </c>
      <c r="F275" s="12">
        <f>YEAR(Personal_Finance_Dataset[[#This Row],[Date]])</f>
        <v>2020</v>
      </c>
      <c r="G275">
        <f t="shared" si="4"/>
        <v>2020</v>
      </c>
    </row>
    <row r="276" spans="1:7" x14ac:dyDescent="0.25">
      <c r="A276" s="8">
        <v>44106</v>
      </c>
      <c r="B276" s="9" t="s">
        <v>291</v>
      </c>
      <c r="C276" s="9" t="s">
        <v>17</v>
      </c>
      <c r="D276" s="9">
        <v>474.79</v>
      </c>
      <c r="E276" s="9" t="s">
        <v>7</v>
      </c>
      <c r="F276" s="12">
        <f>YEAR(Personal_Finance_Dataset[[#This Row],[Date]])</f>
        <v>2020</v>
      </c>
      <c r="G276">
        <f t="shared" si="4"/>
        <v>2020</v>
      </c>
    </row>
    <row r="277" spans="1:7" x14ac:dyDescent="0.25">
      <c r="A277" s="8">
        <v>44107</v>
      </c>
      <c r="B277" s="9" t="s">
        <v>292</v>
      </c>
      <c r="C277" s="9" t="s">
        <v>6</v>
      </c>
      <c r="D277" s="9">
        <v>643.16999999999996</v>
      </c>
      <c r="E277" s="9" t="s">
        <v>7</v>
      </c>
      <c r="F277" s="12">
        <f>YEAR(Personal_Finance_Dataset[[#This Row],[Date]])</f>
        <v>2020</v>
      </c>
      <c r="G277">
        <f t="shared" si="4"/>
        <v>2020</v>
      </c>
    </row>
    <row r="278" spans="1:7" x14ac:dyDescent="0.25">
      <c r="A278" s="8">
        <v>44108</v>
      </c>
      <c r="B278" s="9" t="s">
        <v>293</v>
      </c>
      <c r="C278" s="9" t="s">
        <v>17</v>
      </c>
      <c r="D278" s="9">
        <v>778.3</v>
      </c>
      <c r="E278" s="9" t="s">
        <v>7</v>
      </c>
      <c r="F278" s="12">
        <f>YEAR(Personal_Finance_Dataset[[#This Row],[Date]])</f>
        <v>2020</v>
      </c>
      <c r="G278">
        <f t="shared" si="4"/>
        <v>2020</v>
      </c>
    </row>
    <row r="279" spans="1:7" x14ac:dyDescent="0.25">
      <c r="A279" s="8">
        <v>44109</v>
      </c>
      <c r="B279" s="9" t="s">
        <v>294</v>
      </c>
      <c r="C279" s="9" t="s">
        <v>9</v>
      </c>
      <c r="D279" s="9">
        <v>995.7</v>
      </c>
      <c r="E279" s="9" t="s">
        <v>7</v>
      </c>
      <c r="F279" s="12">
        <f>YEAR(Personal_Finance_Dataset[[#This Row],[Date]])</f>
        <v>2020</v>
      </c>
      <c r="G279">
        <f t="shared" si="4"/>
        <v>2020</v>
      </c>
    </row>
    <row r="280" spans="1:7" x14ac:dyDescent="0.25">
      <c r="A280" s="8">
        <v>44110</v>
      </c>
      <c r="B280" s="9" t="s">
        <v>295</v>
      </c>
      <c r="C280" s="9" t="s">
        <v>20</v>
      </c>
      <c r="D280" s="9">
        <v>1322</v>
      </c>
      <c r="E280" s="9" t="s">
        <v>14</v>
      </c>
      <c r="F280" s="12">
        <f>YEAR(Personal_Finance_Dataset[[#This Row],[Date]])</f>
        <v>2020</v>
      </c>
      <c r="G280">
        <f t="shared" si="4"/>
        <v>2020</v>
      </c>
    </row>
    <row r="281" spans="1:7" x14ac:dyDescent="0.25">
      <c r="A281" s="8">
        <v>44111</v>
      </c>
      <c r="B281" s="9" t="s">
        <v>296</v>
      </c>
      <c r="C281" s="9" t="s">
        <v>27</v>
      </c>
      <c r="D281" s="9">
        <v>208.43</v>
      </c>
      <c r="E281" s="9" t="s">
        <v>7</v>
      </c>
      <c r="F281" s="12">
        <f>YEAR(Personal_Finance_Dataset[[#This Row],[Date]])</f>
        <v>2020</v>
      </c>
      <c r="G281">
        <f t="shared" si="4"/>
        <v>2020</v>
      </c>
    </row>
    <row r="282" spans="1:7" x14ac:dyDescent="0.25">
      <c r="A282" s="8">
        <v>44112</v>
      </c>
      <c r="B282" s="9" t="s">
        <v>297</v>
      </c>
      <c r="C282" s="9" t="s">
        <v>6</v>
      </c>
      <c r="D282" s="9">
        <v>1447.66</v>
      </c>
      <c r="E282" s="9" t="s">
        <v>7</v>
      </c>
      <c r="F282" s="12">
        <f>YEAR(Personal_Finance_Dataset[[#This Row],[Date]])</f>
        <v>2020</v>
      </c>
      <c r="G282">
        <f t="shared" si="4"/>
        <v>2020</v>
      </c>
    </row>
    <row r="283" spans="1:7" x14ac:dyDescent="0.25">
      <c r="A283" s="8">
        <v>44113</v>
      </c>
      <c r="B283" s="9" t="s">
        <v>298</v>
      </c>
      <c r="C283" s="9" t="s">
        <v>9</v>
      </c>
      <c r="D283" s="9">
        <v>158.91</v>
      </c>
      <c r="E283" s="9" t="s">
        <v>7</v>
      </c>
      <c r="F283" s="12">
        <f>YEAR(Personal_Finance_Dataset[[#This Row],[Date]])</f>
        <v>2020</v>
      </c>
      <c r="G283">
        <f t="shared" si="4"/>
        <v>2020</v>
      </c>
    </row>
    <row r="284" spans="1:7" x14ac:dyDescent="0.25">
      <c r="A284" s="8">
        <v>44114</v>
      </c>
      <c r="B284" s="9" t="s">
        <v>299</v>
      </c>
      <c r="C284" s="9" t="s">
        <v>35</v>
      </c>
      <c r="D284" s="9">
        <v>683.74</v>
      </c>
      <c r="E284" s="9" t="s">
        <v>7</v>
      </c>
      <c r="F284" s="12">
        <f>YEAR(Personal_Finance_Dataset[[#This Row],[Date]])</f>
        <v>2020</v>
      </c>
      <c r="G284">
        <f t="shared" si="4"/>
        <v>2020</v>
      </c>
    </row>
    <row r="285" spans="1:7" x14ac:dyDescent="0.25">
      <c r="A285" s="8">
        <v>44115</v>
      </c>
      <c r="B285" s="9" t="s">
        <v>300</v>
      </c>
      <c r="C285" s="9" t="s">
        <v>11</v>
      </c>
      <c r="D285" s="9">
        <v>1705.01</v>
      </c>
      <c r="E285" s="9" t="s">
        <v>7</v>
      </c>
      <c r="F285" s="12">
        <f>YEAR(Personal_Finance_Dataset[[#This Row],[Date]])</f>
        <v>2020</v>
      </c>
      <c r="G285">
        <f t="shared" si="4"/>
        <v>2020</v>
      </c>
    </row>
    <row r="286" spans="1:7" x14ac:dyDescent="0.25">
      <c r="A286" s="8">
        <v>44116</v>
      </c>
      <c r="B286" s="9" t="s">
        <v>301</v>
      </c>
      <c r="C286" s="9" t="s">
        <v>17</v>
      </c>
      <c r="D286" s="9">
        <v>1908.74</v>
      </c>
      <c r="E286" s="9" t="s">
        <v>7</v>
      </c>
      <c r="F286" s="12">
        <f>YEAR(Personal_Finance_Dataset[[#This Row],[Date]])</f>
        <v>2020</v>
      </c>
      <c r="G286">
        <f t="shared" si="4"/>
        <v>2020</v>
      </c>
    </row>
    <row r="287" spans="1:7" x14ac:dyDescent="0.25">
      <c r="A287" s="8">
        <v>44117</v>
      </c>
      <c r="B287" s="9" t="s">
        <v>302</v>
      </c>
      <c r="C287" s="9" t="s">
        <v>27</v>
      </c>
      <c r="D287" s="9">
        <v>1746.04</v>
      </c>
      <c r="E287" s="9" t="s">
        <v>7</v>
      </c>
      <c r="F287" s="12">
        <f>YEAR(Personal_Finance_Dataset[[#This Row],[Date]])</f>
        <v>2020</v>
      </c>
      <c r="G287">
        <f t="shared" si="4"/>
        <v>2020</v>
      </c>
    </row>
    <row r="288" spans="1:7" x14ac:dyDescent="0.25">
      <c r="A288" s="8">
        <v>44118</v>
      </c>
      <c r="B288" s="9" t="s">
        <v>303</v>
      </c>
      <c r="C288" s="9" t="s">
        <v>13</v>
      </c>
      <c r="D288" s="9">
        <v>2423</v>
      </c>
      <c r="E288" s="9" t="s">
        <v>14</v>
      </c>
      <c r="F288" s="12">
        <f>YEAR(Personal_Finance_Dataset[[#This Row],[Date]])</f>
        <v>2020</v>
      </c>
      <c r="G288">
        <f t="shared" si="4"/>
        <v>2020</v>
      </c>
    </row>
    <row r="289" spans="1:7" x14ac:dyDescent="0.25">
      <c r="A289" s="8">
        <v>44119</v>
      </c>
      <c r="B289" s="9" t="s">
        <v>304</v>
      </c>
      <c r="C289" s="9" t="s">
        <v>35</v>
      </c>
      <c r="D289" s="9">
        <v>1994.88</v>
      </c>
      <c r="E289" s="9" t="s">
        <v>7</v>
      </c>
      <c r="F289" s="12">
        <f>YEAR(Personal_Finance_Dataset[[#This Row],[Date]])</f>
        <v>2020</v>
      </c>
      <c r="G289">
        <f t="shared" si="4"/>
        <v>2020</v>
      </c>
    </row>
    <row r="290" spans="1:7" x14ac:dyDescent="0.25">
      <c r="A290" s="8">
        <v>44120</v>
      </c>
      <c r="B290" s="9" t="s">
        <v>305</v>
      </c>
      <c r="C290" s="9" t="s">
        <v>17</v>
      </c>
      <c r="D290" s="9">
        <v>1956.89</v>
      </c>
      <c r="E290" s="9" t="s">
        <v>7</v>
      </c>
      <c r="F290" s="12">
        <f>YEAR(Personal_Finance_Dataset[[#This Row],[Date]])</f>
        <v>2020</v>
      </c>
      <c r="G290">
        <f t="shared" si="4"/>
        <v>2020</v>
      </c>
    </row>
    <row r="291" spans="1:7" x14ac:dyDescent="0.25">
      <c r="A291" s="8">
        <v>44121</v>
      </c>
      <c r="B291" s="9" t="s">
        <v>306</v>
      </c>
      <c r="C291" s="9" t="s">
        <v>11</v>
      </c>
      <c r="D291" s="9">
        <v>892.92</v>
      </c>
      <c r="E291" s="9" t="s">
        <v>7</v>
      </c>
      <c r="F291" s="12">
        <f>YEAR(Personal_Finance_Dataset[[#This Row],[Date]])</f>
        <v>2020</v>
      </c>
      <c r="G291">
        <f t="shared" si="4"/>
        <v>2020</v>
      </c>
    </row>
    <row r="292" spans="1:7" x14ac:dyDescent="0.25">
      <c r="A292" s="8">
        <v>44122</v>
      </c>
      <c r="B292" s="9" t="s">
        <v>307</v>
      </c>
      <c r="C292" s="9" t="s">
        <v>6</v>
      </c>
      <c r="D292" s="9">
        <v>101.52</v>
      </c>
      <c r="E292" s="9" t="s">
        <v>7</v>
      </c>
      <c r="F292" s="12">
        <f>YEAR(Personal_Finance_Dataset[[#This Row],[Date]])</f>
        <v>2020</v>
      </c>
      <c r="G292">
        <f t="shared" si="4"/>
        <v>2020</v>
      </c>
    </row>
    <row r="293" spans="1:7" x14ac:dyDescent="0.25">
      <c r="A293" s="8">
        <v>44123</v>
      </c>
      <c r="B293" s="9" t="s">
        <v>308</v>
      </c>
      <c r="C293" s="9" t="s">
        <v>35</v>
      </c>
      <c r="D293" s="9">
        <v>723.34</v>
      </c>
      <c r="E293" s="9" t="s">
        <v>7</v>
      </c>
      <c r="F293" s="12">
        <f>YEAR(Personal_Finance_Dataset[[#This Row],[Date]])</f>
        <v>2020</v>
      </c>
      <c r="G293">
        <f t="shared" si="4"/>
        <v>2020</v>
      </c>
    </row>
    <row r="294" spans="1:7" x14ac:dyDescent="0.25">
      <c r="A294" s="8">
        <v>44124</v>
      </c>
      <c r="B294" s="9" t="s">
        <v>309</v>
      </c>
      <c r="C294" s="9" t="s">
        <v>22</v>
      </c>
      <c r="D294" s="9">
        <v>1067.02</v>
      </c>
      <c r="E294" s="9" t="s">
        <v>7</v>
      </c>
      <c r="F294" s="12">
        <f>YEAR(Personal_Finance_Dataset[[#This Row],[Date]])</f>
        <v>2020</v>
      </c>
      <c r="G294">
        <f t="shared" si="4"/>
        <v>2020</v>
      </c>
    </row>
    <row r="295" spans="1:7" x14ac:dyDescent="0.25">
      <c r="A295" s="8">
        <v>44125</v>
      </c>
      <c r="B295" s="9" t="s">
        <v>310</v>
      </c>
      <c r="C295" s="9" t="s">
        <v>9</v>
      </c>
      <c r="D295" s="9">
        <v>348.27</v>
      </c>
      <c r="E295" s="9" t="s">
        <v>7</v>
      </c>
      <c r="F295" s="12">
        <f>YEAR(Personal_Finance_Dataset[[#This Row],[Date]])</f>
        <v>2020</v>
      </c>
      <c r="G295">
        <f t="shared" si="4"/>
        <v>2020</v>
      </c>
    </row>
    <row r="296" spans="1:7" x14ac:dyDescent="0.25">
      <c r="A296" s="8">
        <v>44126</v>
      </c>
      <c r="B296" s="9" t="s">
        <v>311</v>
      </c>
      <c r="C296" s="9" t="s">
        <v>20</v>
      </c>
      <c r="D296" s="9">
        <v>2472</v>
      </c>
      <c r="E296" s="9" t="s">
        <v>14</v>
      </c>
      <c r="F296" s="12">
        <f>YEAR(Personal_Finance_Dataset[[#This Row],[Date]])</f>
        <v>2020</v>
      </c>
      <c r="G296">
        <f t="shared" si="4"/>
        <v>2020</v>
      </c>
    </row>
    <row r="297" spans="1:7" x14ac:dyDescent="0.25">
      <c r="A297" s="8">
        <v>44127</v>
      </c>
      <c r="B297" s="9" t="s">
        <v>312</v>
      </c>
      <c r="C297" s="9" t="s">
        <v>9</v>
      </c>
      <c r="D297" s="9">
        <v>472.06</v>
      </c>
      <c r="E297" s="9" t="s">
        <v>7</v>
      </c>
      <c r="F297" s="12">
        <f>YEAR(Personal_Finance_Dataset[[#This Row],[Date]])</f>
        <v>2020</v>
      </c>
      <c r="G297">
        <f t="shared" si="4"/>
        <v>2020</v>
      </c>
    </row>
    <row r="298" spans="1:7" x14ac:dyDescent="0.25">
      <c r="A298" s="8">
        <v>44128</v>
      </c>
      <c r="B298" s="9" t="s">
        <v>313</v>
      </c>
      <c r="C298" s="9" t="s">
        <v>27</v>
      </c>
      <c r="D298" s="9">
        <v>518.1</v>
      </c>
      <c r="E298" s="9" t="s">
        <v>7</v>
      </c>
      <c r="F298" s="12">
        <f>YEAR(Personal_Finance_Dataset[[#This Row],[Date]])</f>
        <v>2020</v>
      </c>
      <c r="G298">
        <f t="shared" si="4"/>
        <v>2020</v>
      </c>
    </row>
    <row r="299" spans="1:7" x14ac:dyDescent="0.25">
      <c r="A299" s="8">
        <v>44129</v>
      </c>
      <c r="B299" s="9" t="s">
        <v>314</v>
      </c>
      <c r="C299" s="9" t="s">
        <v>20</v>
      </c>
      <c r="D299" s="9">
        <v>2856</v>
      </c>
      <c r="E299" s="9" t="s">
        <v>14</v>
      </c>
      <c r="F299" s="12">
        <f>YEAR(Personal_Finance_Dataset[[#This Row],[Date]])</f>
        <v>2020</v>
      </c>
      <c r="G299">
        <f t="shared" si="4"/>
        <v>2020</v>
      </c>
    </row>
    <row r="300" spans="1:7" x14ac:dyDescent="0.25">
      <c r="A300" s="8">
        <v>44130</v>
      </c>
      <c r="B300" s="9" t="s">
        <v>315</v>
      </c>
      <c r="C300" s="9" t="s">
        <v>9</v>
      </c>
      <c r="D300" s="9">
        <v>156.99</v>
      </c>
      <c r="E300" s="9" t="s">
        <v>7</v>
      </c>
      <c r="F300" s="12">
        <f>YEAR(Personal_Finance_Dataset[[#This Row],[Date]])</f>
        <v>2020</v>
      </c>
      <c r="G300">
        <f t="shared" si="4"/>
        <v>2020</v>
      </c>
    </row>
    <row r="301" spans="1:7" x14ac:dyDescent="0.25">
      <c r="A301" s="8">
        <v>44131</v>
      </c>
      <c r="B301" s="9" t="s">
        <v>316</v>
      </c>
      <c r="C301" s="9" t="s">
        <v>35</v>
      </c>
      <c r="D301" s="9">
        <v>1281.49</v>
      </c>
      <c r="E301" s="9" t="s">
        <v>7</v>
      </c>
      <c r="F301" s="12">
        <f>YEAR(Personal_Finance_Dataset[[#This Row],[Date]])</f>
        <v>2020</v>
      </c>
      <c r="G301">
        <f t="shared" si="4"/>
        <v>2020</v>
      </c>
    </row>
    <row r="302" spans="1:7" x14ac:dyDescent="0.25">
      <c r="A302" s="8">
        <v>44132</v>
      </c>
      <c r="B302" s="9" t="s">
        <v>317</v>
      </c>
      <c r="C302" s="9" t="s">
        <v>35</v>
      </c>
      <c r="D302" s="9">
        <v>919.1</v>
      </c>
      <c r="E302" s="9" t="s">
        <v>7</v>
      </c>
      <c r="F302" s="12">
        <f>YEAR(Personal_Finance_Dataset[[#This Row],[Date]])</f>
        <v>2020</v>
      </c>
      <c r="G302">
        <f t="shared" si="4"/>
        <v>2020</v>
      </c>
    </row>
    <row r="303" spans="1:7" x14ac:dyDescent="0.25">
      <c r="A303" s="8">
        <v>44133</v>
      </c>
      <c r="B303" s="9" t="s">
        <v>318</v>
      </c>
      <c r="C303" s="9" t="s">
        <v>17</v>
      </c>
      <c r="D303" s="9">
        <v>1708.14</v>
      </c>
      <c r="E303" s="9" t="s">
        <v>7</v>
      </c>
      <c r="F303" s="12">
        <f>YEAR(Personal_Finance_Dataset[[#This Row],[Date]])</f>
        <v>2020</v>
      </c>
      <c r="G303">
        <f t="shared" si="4"/>
        <v>2020</v>
      </c>
    </row>
    <row r="304" spans="1:7" x14ac:dyDescent="0.25">
      <c r="A304" s="8">
        <v>44134</v>
      </c>
      <c r="B304" s="9" t="s">
        <v>319</v>
      </c>
      <c r="C304" s="9" t="s">
        <v>20</v>
      </c>
      <c r="D304" s="9">
        <v>3440</v>
      </c>
      <c r="E304" s="9" t="s">
        <v>14</v>
      </c>
      <c r="F304" s="12">
        <f>YEAR(Personal_Finance_Dataset[[#This Row],[Date]])</f>
        <v>2020</v>
      </c>
      <c r="G304">
        <f t="shared" si="4"/>
        <v>2020</v>
      </c>
    </row>
    <row r="305" spans="1:7" x14ac:dyDescent="0.25">
      <c r="A305" s="8">
        <v>44135</v>
      </c>
      <c r="B305" s="9" t="s">
        <v>320</v>
      </c>
      <c r="C305" s="9" t="s">
        <v>35</v>
      </c>
      <c r="D305" s="9">
        <v>53.66</v>
      </c>
      <c r="E305" s="9" t="s">
        <v>7</v>
      </c>
      <c r="F305" s="12">
        <f>YEAR(Personal_Finance_Dataset[[#This Row],[Date]])</f>
        <v>2020</v>
      </c>
      <c r="G305">
        <f t="shared" si="4"/>
        <v>2020</v>
      </c>
    </row>
    <row r="306" spans="1:7" x14ac:dyDescent="0.25">
      <c r="A306" s="8">
        <v>44136</v>
      </c>
      <c r="B306" s="9" t="s">
        <v>321</v>
      </c>
      <c r="C306" s="9" t="s">
        <v>17</v>
      </c>
      <c r="D306" s="9">
        <v>556.22</v>
      </c>
      <c r="E306" s="9" t="s">
        <v>7</v>
      </c>
      <c r="F306" s="12">
        <f>YEAR(Personal_Finance_Dataset[[#This Row],[Date]])</f>
        <v>2020</v>
      </c>
      <c r="G306">
        <f t="shared" si="4"/>
        <v>2020</v>
      </c>
    </row>
    <row r="307" spans="1:7" x14ac:dyDescent="0.25">
      <c r="A307" s="8">
        <v>44137</v>
      </c>
      <c r="B307" s="9" t="s">
        <v>322</v>
      </c>
      <c r="C307" s="9" t="s">
        <v>6</v>
      </c>
      <c r="D307" s="9">
        <v>1822.13</v>
      </c>
      <c r="E307" s="9" t="s">
        <v>7</v>
      </c>
      <c r="F307" s="12">
        <f>YEAR(Personal_Finance_Dataset[[#This Row],[Date]])</f>
        <v>2020</v>
      </c>
      <c r="G307">
        <f t="shared" si="4"/>
        <v>2020</v>
      </c>
    </row>
    <row r="308" spans="1:7" x14ac:dyDescent="0.25">
      <c r="A308" s="8">
        <v>44138</v>
      </c>
      <c r="B308" s="9" t="s">
        <v>323</v>
      </c>
      <c r="C308" s="9" t="s">
        <v>35</v>
      </c>
      <c r="D308" s="9">
        <v>1553.72</v>
      </c>
      <c r="E308" s="9" t="s">
        <v>7</v>
      </c>
      <c r="F308" s="12">
        <f>YEAR(Personal_Finance_Dataset[[#This Row],[Date]])</f>
        <v>2020</v>
      </c>
      <c r="G308">
        <f t="shared" si="4"/>
        <v>2020</v>
      </c>
    </row>
    <row r="309" spans="1:7" x14ac:dyDescent="0.25">
      <c r="A309" s="8">
        <v>44139</v>
      </c>
      <c r="B309" s="9" t="s">
        <v>324</v>
      </c>
      <c r="C309" s="9" t="s">
        <v>25</v>
      </c>
      <c r="D309" s="9">
        <v>445.82</v>
      </c>
      <c r="E309" s="9" t="s">
        <v>7</v>
      </c>
      <c r="F309" s="12">
        <f>YEAR(Personal_Finance_Dataset[[#This Row],[Date]])</f>
        <v>2020</v>
      </c>
      <c r="G309">
        <f t="shared" si="4"/>
        <v>2020</v>
      </c>
    </row>
    <row r="310" spans="1:7" x14ac:dyDescent="0.25">
      <c r="A310" s="8">
        <v>44140</v>
      </c>
      <c r="B310" s="9" t="s">
        <v>325</v>
      </c>
      <c r="C310" s="9" t="s">
        <v>20</v>
      </c>
      <c r="D310" s="9">
        <v>1620</v>
      </c>
      <c r="E310" s="9" t="s">
        <v>14</v>
      </c>
      <c r="F310" s="12">
        <f>YEAR(Personal_Finance_Dataset[[#This Row],[Date]])</f>
        <v>2020</v>
      </c>
      <c r="G310">
        <f t="shared" si="4"/>
        <v>2020</v>
      </c>
    </row>
    <row r="311" spans="1:7" x14ac:dyDescent="0.25">
      <c r="A311" s="8">
        <v>44141</v>
      </c>
      <c r="B311" s="9" t="s">
        <v>326</v>
      </c>
      <c r="C311" s="9" t="s">
        <v>6</v>
      </c>
      <c r="D311" s="9">
        <v>624.78</v>
      </c>
      <c r="E311" s="9" t="s">
        <v>7</v>
      </c>
      <c r="F311" s="12">
        <f>YEAR(Personal_Finance_Dataset[[#This Row],[Date]])</f>
        <v>2020</v>
      </c>
      <c r="G311">
        <f t="shared" si="4"/>
        <v>2020</v>
      </c>
    </row>
    <row r="312" spans="1:7" x14ac:dyDescent="0.25">
      <c r="A312" s="8">
        <v>44142</v>
      </c>
      <c r="B312" s="9" t="s">
        <v>327</v>
      </c>
      <c r="C312" s="9" t="s">
        <v>25</v>
      </c>
      <c r="D312" s="9">
        <v>1467.4</v>
      </c>
      <c r="E312" s="9" t="s">
        <v>7</v>
      </c>
      <c r="F312" s="12">
        <f>YEAR(Personal_Finance_Dataset[[#This Row],[Date]])</f>
        <v>2020</v>
      </c>
      <c r="G312">
        <f t="shared" si="4"/>
        <v>2020</v>
      </c>
    </row>
    <row r="313" spans="1:7" x14ac:dyDescent="0.25">
      <c r="A313" s="8">
        <v>44143</v>
      </c>
      <c r="B313" s="9" t="s">
        <v>328</v>
      </c>
      <c r="C313" s="9" t="s">
        <v>20</v>
      </c>
      <c r="D313" s="9">
        <v>3176</v>
      </c>
      <c r="E313" s="9" t="s">
        <v>14</v>
      </c>
      <c r="F313" s="12">
        <f>YEAR(Personal_Finance_Dataset[[#This Row],[Date]])</f>
        <v>2020</v>
      </c>
      <c r="G313">
        <f t="shared" si="4"/>
        <v>2020</v>
      </c>
    </row>
    <row r="314" spans="1:7" x14ac:dyDescent="0.25">
      <c r="A314" s="8">
        <v>44144</v>
      </c>
      <c r="B314" s="9" t="s">
        <v>329</v>
      </c>
      <c r="C314" s="9" t="s">
        <v>9</v>
      </c>
      <c r="D314" s="9">
        <v>409.58</v>
      </c>
      <c r="E314" s="9" t="s">
        <v>7</v>
      </c>
      <c r="F314" s="12">
        <f>YEAR(Personal_Finance_Dataset[[#This Row],[Date]])</f>
        <v>2020</v>
      </c>
      <c r="G314">
        <f t="shared" si="4"/>
        <v>2020</v>
      </c>
    </row>
    <row r="315" spans="1:7" x14ac:dyDescent="0.25">
      <c r="A315" s="8">
        <v>44145</v>
      </c>
      <c r="B315" s="9" t="s">
        <v>330</v>
      </c>
      <c r="C315" s="9" t="s">
        <v>25</v>
      </c>
      <c r="D315" s="9">
        <v>1066.4000000000001</v>
      </c>
      <c r="E315" s="9" t="s">
        <v>7</v>
      </c>
      <c r="F315" s="12">
        <f>YEAR(Personal_Finance_Dataset[[#This Row],[Date]])</f>
        <v>2020</v>
      </c>
      <c r="G315">
        <f t="shared" si="4"/>
        <v>2020</v>
      </c>
    </row>
    <row r="316" spans="1:7" x14ac:dyDescent="0.25">
      <c r="A316" s="8">
        <v>44146</v>
      </c>
      <c r="B316" s="9" t="s">
        <v>331</v>
      </c>
      <c r="C316" s="9" t="s">
        <v>9</v>
      </c>
      <c r="D316" s="9">
        <v>521.37</v>
      </c>
      <c r="E316" s="9" t="s">
        <v>7</v>
      </c>
      <c r="F316" s="12">
        <f>YEAR(Personal_Finance_Dataset[[#This Row],[Date]])</f>
        <v>2020</v>
      </c>
      <c r="G316">
        <f t="shared" si="4"/>
        <v>2020</v>
      </c>
    </row>
    <row r="317" spans="1:7" x14ac:dyDescent="0.25">
      <c r="A317" s="8">
        <v>44147</v>
      </c>
      <c r="B317" s="9" t="s">
        <v>332</v>
      </c>
      <c r="C317" s="9" t="s">
        <v>27</v>
      </c>
      <c r="D317" s="9">
        <v>1935.09</v>
      </c>
      <c r="E317" s="9" t="s">
        <v>7</v>
      </c>
      <c r="F317" s="12">
        <f>YEAR(Personal_Finance_Dataset[[#This Row],[Date]])</f>
        <v>2020</v>
      </c>
      <c r="G317">
        <f t="shared" si="4"/>
        <v>2020</v>
      </c>
    </row>
    <row r="318" spans="1:7" x14ac:dyDescent="0.25">
      <c r="A318" s="8">
        <v>44148</v>
      </c>
      <c r="B318" s="9" t="s">
        <v>333</v>
      </c>
      <c r="C318" s="9" t="s">
        <v>25</v>
      </c>
      <c r="D318" s="9">
        <v>1610.42</v>
      </c>
      <c r="E318" s="9" t="s">
        <v>7</v>
      </c>
      <c r="F318" s="12">
        <f>YEAR(Personal_Finance_Dataset[[#This Row],[Date]])</f>
        <v>2020</v>
      </c>
      <c r="G318">
        <f t="shared" si="4"/>
        <v>2020</v>
      </c>
    </row>
    <row r="319" spans="1:7" x14ac:dyDescent="0.25">
      <c r="A319" s="8">
        <v>44149</v>
      </c>
      <c r="B319" s="9" t="s">
        <v>334</v>
      </c>
      <c r="C319" s="9" t="s">
        <v>11</v>
      </c>
      <c r="D319" s="9">
        <v>290.11</v>
      </c>
      <c r="E319" s="9" t="s">
        <v>7</v>
      </c>
      <c r="F319" s="12">
        <f>YEAR(Personal_Finance_Dataset[[#This Row],[Date]])</f>
        <v>2020</v>
      </c>
      <c r="G319">
        <f t="shared" si="4"/>
        <v>2020</v>
      </c>
    </row>
    <row r="320" spans="1:7" x14ac:dyDescent="0.25">
      <c r="A320" s="8">
        <v>44150</v>
      </c>
      <c r="B320" s="9" t="s">
        <v>335</v>
      </c>
      <c r="C320" s="9" t="s">
        <v>17</v>
      </c>
      <c r="D320" s="9">
        <v>1934.87</v>
      </c>
      <c r="E320" s="9" t="s">
        <v>7</v>
      </c>
      <c r="F320" s="12">
        <f>YEAR(Personal_Finance_Dataset[[#This Row],[Date]])</f>
        <v>2020</v>
      </c>
      <c r="G320">
        <f t="shared" si="4"/>
        <v>2020</v>
      </c>
    </row>
    <row r="321" spans="1:7" x14ac:dyDescent="0.25">
      <c r="A321" s="8">
        <v>44151</v>
      </c>
      <c r="B321" s="9" t="s">
        <v>336</v>
      </c>
      <c r="C321" s="9" t="s">
        <v>25</v>
      </c>
      <c r="D321" s="9">
        <v>189.7</v>
      </c>
      <c r="E321" s="9" t="s">
        <v>7</v>
      </c>
      <c r="F321" s="12">
        <f>YEAR(Personal_Finance_Dataset[[#This Row],[Date]])</f>
        <v>2020</v>
      </c>
      <c r="G321">
        <f t="shared" si="4"/>
        <v>2020</v>
      </c>
    </row>
    <row r="322" spans="1:7" x14ac:dyDescent="0.25">
      <c r="A322" s="8">
        <v>44152</v>
      </c>
      <c r="B322" s="9" t="s">
        <v>337</v>
      </c>
      <c r="C322" s="9" t="s">
        <v>35</v>
      </c>
      <c r="D322" s="9">
        <v>1077.78</v>
      </c>
      <c r="E322" s="9" t="s">
        <v>7</v>
      </c>
      <c r="F322" s="12">
        <f>YEAR(Personal_Finance_Dataset[[#This Row],[Date]])</f>
        <v>2020</v>
      </c>
      <c r="G322">
        <f t="shared" ref="G322:G385" si="5">YEAR(A322)</f>
        <v>2020</v>
      </c>
    </row>
    <row r="323" spans="1:7" x14ac:dyDescent="0.25">
      <c r="A323" s="8">
        <v>44153</v>
      </c>
      <c r="B323" s="9" t="s">
        <v>338</v>
      </c>
      <c r="C323" s="9" t="s">
        <v>35</v>
      </c>
      <c r="D323" s="9">
        <v>1173.27</v>
      </c>
      <c r="E323" s="9" t="s">
        <v>7</v>
      </c>
      <c r="F323" s="12">
        <f>YEAR(Personal_Finance_Dataset[[#This Row],[Date]])</f>
        <v>2020</v>
      </c>
      <c r="G323">
        <f t="shared" si="5"/>
        <v>2020</v>
      </c>
    </row>
    <row r="324" spans="1:7" x14ac:dyDescent="0.25">
      <c r="A324" s="8">
        <v>44154</v>
      </c>
      <c r="B324" s="9" t="s">
        <v>339</v>
      </c>
      <c r="C324" s="9" t="s">
        <v>25</v>
      </c>
      <c r="D324" s="9">
        <v>225.61</v>
      </c>
      <c r="E324" s="9" t="s">
        <v>7</v>
      </c>
      <c r="F324" s="12">
        <f>YEAR(Personal_Finance_Dataset[[#This Row],[Date]])</f>
        <v>2020</v>
      </c>
      <c r="G324">
        <f t="shared" si="5"/>
        <v>2020</v>
      </c>
    </row>
    <row r="325" spans="1:7" x14ac:dyDescent="0.25">
      <c r="A325" s="8">
        <v>44155</v>
      </c>
      <c r="B325" s="9" t="s">
        <v>340</v>
      </c>
      <c r="C325" s="9" t="s">
        <v>6</v>
      </c>
      <c r="D325" s="9">
        <v>1242.9000000000001</v>
      </c>
      <c r="E325" s="9" t="s">
        <v>7</v>
      </c>
      <c r="F325" s="12">
        <f>YEAR(Personal_Finance_Dataset[[#This Row],[Date]])</f>
        <v>2020</v>
      </c>
      <c r="G325">
        <f t="shared" si="5"/>
        <v>2020</v>
      </c>
    </row>
    <row r="326" spans="1:7" x14ac:dyDescent="0.25">
      <c r="A326" s="8">
        <v>44156</v>
      </c>
      <c r="B326" s="9" t="s">
        <v>341</v>
      </c>
      <c r="C326" s="9" t="s">
        <v>25</v>
      </c>
      <c r="D326" s="9">
        <v>1831.36</v>
      </c>
      <c r="E326" s="9" t="s">
        <v>7</v>
      </c>
      <c r="F326" s="12">
        <f>YEAR(Personal_Finance_Dataset[[#This Row],[Date]])</f>
        <v>2020</v>
      </c>
      <c r="G326">
        <f t="shared" si="5"/>
        <v>2020</v>
      </c>
    </row>
    <row r="327" spans="1:7" x14ac:dyDescent="0.25">
      <c r="A327" s="8">
        <v>44157</v>
      </c>
      <c r="B327" s="9" t="s">
        <v>342</v>
      </c>
      <c r="C327" s="9" t="s">
        <v>11</v>
      </c>
      <c r="D327" s="9">
        <v>1274.45</v>
      </c>
      <c r="E327" s="9" t="s">
        <v>7</v>
      </c>
      <c r="F327" s="12">
        <f>YEAR(Personal_Finance_Dataset[[#This Row],[Date]])</f>
        <v>2020</v>
      </c>
      <c r="G327">
        <f t="shared" si="5"/>
        <v>2020</v>
      </c>
    </row>
    <row r="328" spans="1:7" x14ac:dyDescent="0.25">
      <c r="A328" s="8">
        <v>44158</v>
      </c>
      <c r="B328" s="9" t="s">
        <v>343</v>
      </c>
      <c r="C328" s="9" t="s">
        <v>35</v>
      </c>
      <c r="D328" s="9">
        <v>1301.99</v>
      </c>
      <c r="E328" s="9" t="s">
        <v>7</v>
      </c>
      <c r="F328" s="12">
        <f>YEAR(Personal_Finance_Dataset[[#This Row],[Date]])</f>
        <v>2020</v>
      </c>
      <c r="G328">
        <f t="shared" si="5"/>
        <v>2020</v>
      </c>
    </row>
    <row r="329" spans="1:7" x14ac:dyDescent="0.25">
      <c r="A329" s="8">
        <v>44159</v>
      </c>
      <c r="B329" s="9" t="s">
        <v>344</v>
      </c>
      <c r="C329" s="9" t="s">
        <v>13</v>
      </c>
      <c r="D329" s="9">
        <v>804</v>
      </c>
      <c r="E329" s="9" t="s">
        <v>14</v>
      </c>
      <c r="F329" s="12">
        <f>YEAR(Personal_Finance_Dataset[[#This Row],[Date]])</f>
        <v>2020</v>
      </c>
      <c r="G329">
        <f t="shared" si="5"/>
        <v>2020</v>
      </c>
    </row>
    <row r="330" spans="1:7" x14ac:dyDescent="0.25">
      <c r="A330" s="8">
        <v>44160</v>
      </c>
      <c r="B330" s="9" t="s">
        <v>345</v>
      </c>
      <c r="C330" s="9" t="s">
        <v>27</v>
      </c>
      <c r="D330" s="9">
        <v>241.08</v>
      </c>
      <c r="E330" s="9" t="s">
        <v>7</v>
      </c>
      <c r="F330" s="12">
        <f>YEAR(Personal_Finance_Dataset[[#This Row],[Date]])</f>
        <v>2020</v>
      </c>
      <c r="G330">
        <f t="shared" si="5"/>
        <v>2020</v>
      </c>
    </row>
    <row r="331" spans="1:7" x14ac:dyDescent="0.25">
      <c r="A331" s="8">
        <v>44161</v>
      </c>
      <c r="B331" s="9" t="s">
        <v>346</v>
      </c>
      <c r="C331" s="9" t="s">
        <v>9</v>
      </c>
      <c r="D331" s="9">
        <v>783.41</v>
      </c>
      <c r="E331" s="9" t="s">
        <v>7</v>
      </c>
      <c r="F331" s="12">
        <f>YEAR(Personal_Finance_Dataset[[#This Row],[Date]])</f>
        <v>2020</v>
      </c>
      <c r="G331">
        <f t="shared" si="5"/>
        <v>2020</v>
      </c>
    </row>
    <row r="332" spans="1:7" x14ac:dyDescent="0.25">
      <c r="A332" s="8">
        <v>44162</v>
      </c>
      <c r="B332" s="9" t="s">
        <v>347</v>
      </c>
      <c r="C332" s="9" t="s">
        <v>17</v>
      </c>
      <c r="D332" s="9">
        <v>1178.81</v>
      </c>
      <c r="E332" s="9" t="s">
        <v>7</v>
      </c>
      <c r="F332" s="12">
        <f>YEAR(Personal_Finance_Dataset[[#This Row],[Date]])</f>
        <v>2020</v>
      </c>
      <c r="G332">
        <f t="shared" si="5"/>
        <v>2020</v>
      </c>
    </row>
    <row r="333" spans="1:7" x14ac:dyDescent="0.25">
      <c r="A333" s="8">
        <v>44163</v>
      </c>
      <c r="B333" s="9" t="s">
        <v>348</v>
      </c>
      <c r="C333" s="9" t="s">
        <v>17</v>
      </c>
      <c r="D333" s="9">
        <v>1313.29</v>
      </c>
      <c r="E333" s="9" t="s">
        <v>7</v>
      </c>
      <c r="F333" s="12">
        <f>YEAR(Personal_Finance_Dataset[[#This Row],[Date]])</f>
        <v>2020</v>
      </c>
      <c r="G333">
        <f t="shared" si="5"/>
        <v>2020</v>
      </c>
    </row>
    <row r="334" spans="1:7" x14ac:dyDescent="0.25">
      <c r="A334" s="8">
        <v>44164</v>
      </c>
      <c r="B334" s="9" t="s">
        <v>349</v>
      </c>
      <c r="C334" s="9" t="s">
        <v>17</v>
      </c>
      <c r="D334" s="9">
        <v>1878.72</v>
      </c>
      <c r="E334" s="9" t="s">
        <v>7</v>
      </c>
      <c r="F334" s="12">
        <f>YEAR(Personal_Finance_Dataset[[#This Row],[Date]])</f>
        <v>2020</v>
      </c>
      <c r="G334">
        <f t="shared" si="5"/>
        <v>2020</v>
      </c>
    </row>
    <row r="335" spans="1:7" x14ac:dyDescent="0.25">
      <c r="A335" s="8">
        <v>44165</v>
      </c>
      <c r="B335" s="9" t="s">
        <v>350</v>
      </c>
      <c r="C335" s="9" t="s">
        <v>25</v>
      </c>
      <c r="D335" s="9">
        <v>442.37</v>
      </c>
      <c r="E335" s="9" t="s">
        <v>7</v>
      </c>
      <c r="F335" s="12">
        <f>YEAR(Personal_Finance_Dataset[[#This Row],[Date]])</f>
        <v>2020</v>
      </c>
      <c r="G335">
        <f t="shared" si="5"/>
        <v>2020</v>
      </c>
    </row>
    <row r="336" spans="1:7" x14ac:dyDescent="0.25">
      <c r="A336" s="8">
        <v>44166</v>
      </c>
      <c r="B336" s="9" t="s">
        <v>351</v>
      </c>
      <c r="C336" s="9" t="s">
        <v>22</v>
      </c>
      <c r="D336" s="9">
        <v>1712.35</v>
      </c>
      <c r="E336" s="9" t="s">
        <v>7</v>
      </c>
      <c r="F336" s="12">
        <f>YEAR(Personal_Finance_Dataset[[#This Row],[Date]])</f>
        <v>2020</v>
      </c>
      <c r="G336">
        <f t="shared" si="5"/>
        <v>2020</v>
      </c>
    </row>
    <row r="337" spans="1:7" x14ac:dyDescent="0.25">
      <c r="A337" s="8">
        <v>44167</v>
      </c>
      <c r="B337" s="9" t="s">
        <v>352</v>
      </c>
      <c r="C337" s="9" t="s">
        <v>20</v>
      </c>
      <c r="D337" s="9">
        <v>4960</v>
      </c>
      <c r="E337" s="9" t="s">
        <v>14</v>
      </c>
      <c r="F337" s="12">
        <f>YEAR(Personal_Finance_Dataset[[#This Row],[Date]])</f>
        <v>2020</v>
      </c>
      <c r="G337">
        <f t="shared" si="5"/>
        <v>2020</v>
      </c>
    </row>
    <row r="338" spans="1:7" x14ac:dyDescent="0.25">
      <c r="A338" s="8">
        <v>44168</v>
      </c>
      <c r="B338" s="9" t="s">
        <v>353</v>
      </c>
      <c r="C338" s="9" t="s">
        <v>25</v>
      </c>
      <c r="D338" s="9">
        <v>130.49</v>
      </c>
      <c r="E338" s="9" t="s">
        <v>7</v>
      </c>
      <c r="F338" s="12">
        <f>YEAR(Personal_Finance_Dataset[[#This Row],[Date]])</f>
        <v>2020</v>
      </c>
      <c r="G338">
        <f t="shared" si="5"/>
        <v>2020</v>
      </c>
    </row>
    <row r="339" spans="1:7" x14ac:dyDescent="0.25">
      <c r="A339" s="8">
        <v>44169</v>
      </c>
      <c r="B339" s="9" t="s">
        <v>354</v>
      </c>
      <c r="C339" s="9" t="s">
        <v>11</v>
      </c>
      <c r="D339" s="9">
        <v>1898.53</v>
      </c>
      <c r="E339" s="9" t="s">
        <v>7</v>
      </c>
      <c r="F339" s="12">
        <f>YEAR(Personal_Finance_Dataset[[#This Row],[Date]])</f>
        <v>2020</v>
      </c>
      <c r="G339">
        <f t="shared" si="5"/>
        <v>2020</v>
      </c>
    </row>
    <row r="340" spans="1:7" x14ac:dyDescent="0.25">
      <c r="A340" s="8">
        <v>44170</v>
      </c>
      <c r="B340" s="9" t="s">
        <v>355</v>
      </c>
      <c r="C340" s="9" t="s">
        <v>11</v>
      </c>
      <c r="D340" s="9">
        <v>1328.91</v>
      </c>
      <c r="E340" s="9" t="s">
        <v>7</v>
      </c>
      <c r="F340" s="12">
        <f>YEAR(Personal_Finance_Dataset[[#This Row],[Date]])</f>
        <v>2020</v>
      </c>
      <c r="G340">
        <f t="shared" si="5"/>
        <v>2020</v>
      </c>
    </row>
    <row r="341" spans="1:7" x14ac:dyDescent="0.25">
      <c r="A341" s="8">
        <v>44171</v>
      </c>
      <c r="B341" s="9" t="s">
        <v>356</v>
      </c>
      <c r="C341" s="9" t="s">
        <v>6</v>
      </c>
      <c r="D341" s="9">
        <v>110.65</v>
      </c>
      <c r="E341" s="9" t="s">
        <v>7</v>
      </c>
      <c r="F341" s="12">
        <f>YEAR(Personal_Finance_Dataset[[#This Row],[Date]])</f>
        <v>2020</v>
      </c>
      <c r="G341">
        <f t="shared" si="5"/>
        <v>2020</v>
      </c>
    </row>
    <row r="342" spans="1:7" x14ac:dyDescent="0.25">
      <c r="A342" s="8">
        <v>44172</v>
      </c>
      <c r="B342" s="9" t="s">
        <v>357</v>
      </c>
      <c r="C342" s="9" t="s">
        <v>9</v>
      </c>
      <c r="D342" s="9">
        <v>1576.09</v>
      </c>
      <c r="E342" s="9" t="s">
        <v>7</v>
      </c>
      <c r="F342" s="12">
        <f>YEAR(Personal_Finance_Dataset[[#This Row],[Date]])</f>
        <v>2020</v>
      </c>
      <c r="G342">
        <f t="shared" si="5"/>
        <v>2020</v>
      </c>
    </row>
    <row r="343" spans="1:7" x14ac:dyDescent="0.25">
      <c r="A343" s="8">
        <v>44173</v>
      </c>
      <c r="B343" s="9" t="s">
        <v>358</v>
      </c>
      <c r="C343" s="9" t="s">
        <v>22</v>
      </c>
      <c r="D343" s="9">
        <v>1176.9000000000001</v>
      </c>
      <c r="E343" s="9" t="s">
        <v>7</v>
      </c>
      <c r="F343" s="12">
        <f>YEAR(Personal_Finance_Dataset[[#This Row],[Date]])</f>
        <v>2020</v>
      </c>
      <c r="G343">
        <f t="shared" si="5"/>
        <v>2020</v>
      </c>
    </row>
    <row r="344" spans="1:7" x14ac:dyDescent="0.25">
      <c r="A344" s="8">
        <v>44174</v>
      </c>
      <c r="B344" s="9" t="s">
        <v>359</v>
      </c>
      <c r="C344" s="9" t="s">
        <v>22</v>
      </c>
      <c r="D344" s="9">
        <v>663.83</v>
      </c>
      <c r="E344" s="9" t="s">
        <v>7</v>
      </c>
      <c r="F344" s="12">
        <f>YEAR(Personal_Finance_Dataset[[#This Row],[Date]])</f>
        <v>2020</v>
      </c>
      <c r="G344">
        <f t="shared" si="5"/>
        <v>2020</v>
      </c>
    </row>
    <row r="345" spans="1:7" x14ac:dyDescent="0.25">
      <c r="A345" s="8">
        <v>44175</v>
      </c>
      <c r="B345" s="9" t="s">
        <v>360</v>
      </c>
      <c r="C345" s="9" t="s">
        <v>13</v>
      </c>
      <c r="D345" s="9">
        <v>2771</v>
      </c>
      <c r="E345" s="9" t="s">
        <v>14</v>
      </c>
      <c r="F345" s="12">
        <f>YEAR(Personal_Finance_Dataset[[#This Row],[Date]])</f>
        <v>2020</v>
      </c>
      <c r="G345">
        <f t="shared" si="5"/>
        <v>2020</v>
      </c>
    </row>
    <row r="346" spans="1:7" x14ac:dyDescent="0.25">
      <c r="A346" s="8">
        <v>44176</v>
      </c>
      <c r="B346" s="9" t="s">
        <v>361</v>
      </c>
      <c r="C346" s="9" t="s">
        <v>9</v>
      </c>
      <c r="D346" s="9">
        <v>1975.18</v>
      </c>
      <c r="E346" s="9" t="s">
        <v>7</v>
      </c>
      <c r="F346" s="12">
        <f>YEAR(Personal_Finance_Dataset[[#This Row],[Date]])</f>
        <v>2020</v>
      </c>
      <c r="G346">
        <f t="shared" si="5"/>
        <v>2020</v>
      </c>
    </row>
    <row r="347" spans="1:7" x14ac:dyDescent="0.25">
      <c r="A347" s="8">
        <v>44177</v>
      </c>
      <c r="B347" s="9" t="s">
        <v>362</v>
      </c>
      <c r="C347" s="9" t="s">
        <v>9</v>
      </c>
      <c r="D347" s="9">
        <v>228.75</v>
      </c>
      <c r="E347" s="9" t="s">
        <v>7</v>
      </c>
      <c r="F347" s="12">
        <f>YEAR(Personal_Finance_Dataset[[#This Row],[Date]])</f>
        <v>2020</v>
      </c>
      <c r="G347">
        <f t="shared" si="5"/>
        <v>2020</v>
      </c>
    </row>
    <row r="348" spans="1:7" x14ac:dyDescent="0.25">
      <c r="A348" s="8">
        <v>44178</v>
      </c>
      <c r="B348" s="9" t="s">
        <v>363</v>
      </c>
      <c r="C348" s="9" t="s">
        <v>9</v>
      </c>
      <c r="D348" s="9">
        <v>39.57</v>
      </c>
      <c r="E348" s="9" t="s">
        <v>7</v>
      </c>
      <c r="F348" s="12">
        <f>YEAR(Personal_Finance_Dataset[[#This Row],[Date]])</f>
        <v>2020</v>
      </c>
      <c r="G348">
        <f t="shared" si="5"/>
        <v>2020</v>
      </c>
    </row>
    <row r="349" spans="1:7" x14ac:dyDescent="0.25">
      <c r="A349" s="8">
        <v>44179</v>
      </c>
      <c r="B349" s="9" t="s">
        <v>364</v>
      </c>
      <c r="C349" s="9" t="s">
        <v>22</v>
      </c>
      <c r="D349" s="9">
        <v>1181.82</v>
      </c>
      <c r="E349" s="9" t="s">
        <v>7</v>
      </c>
      <c r="F349" s="12">
        <f>YEAR(Personal_Finance_Dataset[[#This Row],[Date]])</f>
        <v>2020</v>
      </c>
      <c r="G349">
        <f t="shared" si="5"/>
        <v>2020</v>
      </c>
    </row>
    <row r="350" spans="1:7" x14ac:dyDescent="0.25">
      <c r="A350" s="8">
        <v>44180</v>
      </c>
      <c r="B350" s="9" t="s">
        <v>365</v>
      </c>
      <c r="C350" s="9" t="s">
        <v>20</v>
      </c>
      <c r="D350" s="9">
        <v>929</v>
      </c>
      <c r="E350" s="9" t="s">
        <v>14</v>
      </c>
      <c r="F350" s="12">
        <f>YEAR(Personal_Finance_Dataset[[#This Row],[Date]])</f>
        <v>2020</v>
      </c>
      <c r="G350">
        <f t="shared" si="5"/>
        <v>2020</v>
      </c>
    </row>
    <row r="351" spans="1:7" x14ac:dyDescent="0.25">
      <c r="A351" s="8">
        <v>44181</v>
      </c>
      <c r="B351" s="9" t="s">
        <v>366</v>
      </c>
      <c r="C351" s="9" t="s">
        <v>20</v>
      </c>
      <c r="D351" s="9">
        <v>4809</v>
      </c>
      <c r="E351" s="9" t="s">
        <v>14</v>
      </c>
      <c r="F351" s="12">
        <f>YEAR(Personal_Finance_Dataset[[#This Row],[Date]])</f>
        <v>2020</v>
      </c>
      <c r="G351">
        <f t="shared" si="5"/>
        <v>2020</v>
      </c>
    </row>
    <row r="352" spans="1:7" x14ac:dyDescent="0.25">
      <c r="A352" s="8">
        <v>44182</v>
      </c>
      <c r="B352" s="9" t="s">
        <v>367</v>
      </c>
      <c r="C352" s="9" t="s">
        <v>13</v>
      </c>
      <c r="D352" s="9">
        <v>4401</v>
      </c>
      <c r="E352" s="9" t="s">
        <v>14</v>
      </c>
      <c r="F352" s="12">
        <f>YEAR(Personal_Finance_Dataset[[#This Row],[Date]])</f>
        <v>2020</v>
      </c>
      <c r="G352">
        <f t="shared" si="5"/>
        <v>2020</v>
      </c>
    </row>
    <row r="353" spans="1:7" x14ac:dyDescent="0.25">
      <c r="A353" s="8">
        <v>44183</v>
      </c>
      <c r="B353" s="9" t="s">
        <v>368</v>
      </c>
      <c r="C353" s="9" t="s">
        <v>25</v>
      </c>
      <c r="D353" s="9">
        <v>1031.3399999999999</v>
      </c>
      <c r="E353" s="9" t="s">
        <v>7</v>
      </c>
      <c r="F353" s="12">
        <f>YEAR(Personal_Finance_Dataset[[#This Row],[Date]])</f>
        <v>2020</v>
      </c>
      <c r="G353">
        <f t="shared" si="5"/>
        <v>2020</v>
      </c>
    </row>
    <row r="354" spans="1:7" x14ac:dyDescent="0.25">
      <c r="A354" s="8">
        <v>44184</v>
      </c>
      <c r="B354" s="9" t="s">
        <v>369</v>
      </c>
      <c r="C354" s="9" t="s">
        <v>13</v>
      </c>
      <c r="D354" s="9">
        <v>855</v>
      </c>
      <c r="E354" s="9" t="s">
        <v>14</v>
      </c>
      <c r="F354" s="12">
        <f>YEAR(Personal_Finance_Dataset[[#This Row],[Date]])</f>
        <v>2020</v>
      </c>
      <c r="G354">
        <f t="shared" si="5"/>
        <v>2020</v>
      </c>
    </row>
    <row r="355" spans="1:7" x14ac:dyDescent="0.25">
      <c r="A355" s="8">
        <v>44185</v>
      </c>
      <c r="B355" s="9" t="s">
        <v>370</v>
      </c>
      <c r="C355" s="9" t="s">
        <v>35</v>
      </c>
      <c r="D355" s="9">
        <v>921.5</v>
      </c>
      <c r="E355" s="9" t="s">
        <v>7</v>
      </c>
      <c r="F355" s="12">
        <f>YEAR(Personal_Finance_Dataset[[#This Row],[Date]])</f>
        <v>2020</v>
      </c>
      <c r="G355">
        <f t="shared" si="5"/>
        <v>2020</v>
      </c>
    </row>
    <row r="356" spans="1:7" x14ac:dyDescent="0.25">
      <c r="A356" s="8">
        <v>44186</v>
      </c>
      <c r="B356" s="9" t="s">
        <v>371</v>
      </c>
      <c r="C356" s="9" t="s">
        <v>6</v>
      </c>
      <c r="D356" s="9">
        <v>1997.19</v>
      </c>
      <c r="E356" s="9" t="s">
        <v>7</v>
      </c>
      <c r="F356" s="12">
        <f>YEAR(Personal_Finance_Dataset[[#This Row],[Date]])</f>
        <v>2020</v>
      </c>
      <c r="G356">
        <f t="shared" si="5"/>
        <v>2020</v>
      </c>
    </row>
    <row r="357" spans="1:7" x14ac:dyDescent="0.25">
      <c r="A357" s="8">
        <v>44187</v>
      </c>
      <c r="B357" s="9" t="s">
        <v>372</v>
      </c>
      <c r="C357" s="9" t="s">
        <v>17</v>
      </c>
      <c r="D357" s="9">
        <v>1375.33</v>
      </c>
      <c r="E357" s="9" t="s">
        <v>7</v>
      </c>
      <c r="F357" s="12">
        <f>YEAR(Personal_Finance_Dataset[[#This Row],[Date]])</f>
        <v>2020</v>
      </c>
      <c r="G357">
        <f t="shared" si="5"/>
        <v>2020</v>
      </c>
    </row>
    <row r="358" spans="1:7" x14ac:dyDescent="0.25">
      <c r="A358" s="8">
        <v>44188</v>
      </c>
      <c r="B358" s="9" t="s">
        <v>373</v>
      </c>
      <c r="C358" s="9" t="s">
        <v>27</v>
      </c>
      <c r="D358" s="9">
        <v>156.25</v>
      </c>
      <c r="E358" s="9" t="s">
        <v>7</v>
      </c>
      <c r="F358" s="12">
        <f>YEAR(Personal_Finance_Dataset[[#This Row],[Date]])</f>
        <v>2020</v>
      </c>
      <c r="G358">
        <f t="shared" si="5"/>
        <v>2020</v>
      </c>
    </row>
    <row r="359" spans="1:7" x14ac:dyDescent="0.25">
      <c r="A359" s="8">
        <v>44189</v>
      </c>
      <c r="B359" s="9" t="s">
        <v>374</v>
      </c>
      <c r="C359" s="9" t="s">
        <v>13</v>
      </c>
      <c r="D359" s="9">
        <v>1038</v>
      </c>
      <c r="E359" s="9" t="s">
        <v>14</v>
      </c>
      <c r="F359" s="12">
        <f>YEAR(Personal_Finance_Dataset[[#This Row],[Date]])</f>
        <v>2020</v>
      </c>
      <c r="G359">
        <f t="shared" si="5"/>
        <v>2020</v>
      </c>
    </row>
    <row r="360" spans="1:7" x14ac:dyDescent="0.25">
      <c r="A360" s="8">
        <v>44190</v>
      </c>
      <c r="B360" s="9" t="s">
        <v>375</v>
      </c>
      <c r="C360" s="9" t="s">
        <v>20</v>
      </c>
      <c r="D360" s="9">
        <v>3620</v>
      </c>
      <c r="E360" s="9" t="s">
        <v>14</v>
      </c>
      <c r="F360" s="12">
        <f>YEAR(Personal_Finance_Dataset[[#This Row],[Date]])</f>
        <v>2020</v>
      </c>
      <c r="G360">
        <f t="shared" si="5"/>
        <v>2020</v>
      </c>
    </row>
    <row r="361" spans="1:7" x14ac:dyDescent="0.25">
      <c r="A361" s="8">
        <v>44191</v>
      </c>
      <c r="B361" s="9" t="s">
        <v>376</v>
      </c>
      <c r="C361" s="9" t="s">
        <v>35</v>
      </c>
      <c r="D361" s="9">
        <v>912.89</v>
      </c>
      <c r="E361" s="9" t="s">
        <v>7</v>
      </c>
      <c r="F361" s="12">
        <f>YEAR(Personal_Finance_Dataset[[#This Row],[Date]])</f>
        <v>2020</v>
      </c>
      <c r="G361">
        <f t="shared" si="5"/>
        <v>2020</v>
      </c>
    </row>
    <row r="362" spans="1:7" x14ac:dyDescent="0.25">
      <c r="A362" s="8">
        <v>44192</v>
      </c>
      <c r="B362" s="9" t="s">
        <v>377</v>
      </c>
      <c r="C362" s="9" t="s">
        <v>11</v>
      </c>
      <c r="D362" s="9">
        <v>1588.26</v>
      </c>
      <c r="E362" s="9" t="s">
        <v>7</v>
      </c>
      <c r="F362" s="12">
        <f>YEAR(Personal_Finance_Dataset[[#This Row],[Date]])</f>
        <v>2020</v>
      </c>
      <c r="G362">
        <f t="shared" si="5"/>
        <v>2020</v>
      </c>
    </row>
    <row r="363" spans="1:7" x14ac:dyDescent="0.25">
      <c r="A363" s="8">
        <v>44193</v>
      </c>
      <c r="B363" s="9" t="s">
        <v>378</v>
      </c>
      <c r="C363" s="9" t="s">
        <v>13</v>
      </c>
      <c r="D363" s="9">
        <v>4023</v>
      </c>
      <c r="E363" s="9" t="s">
        <v>14</v>
      </c>
      <c r="F363" s="12">
        <f>YEAR(Personal_Finance_Dataset[[#This Row],[Date]])</f>
        <v>2020</v>
      </c>
      <c r="G363">
        <f t="shared" si="5"/>
        <v>2020</v>
      </c>
    </row>
    <row r="364" spans="1:7" x14ac:dyDescent="0.25">
      <c r="A364" s="8">
        <v>44194</v>
      </c>
      <c r="B364" s="9" t="s">
        <v>379</v>
      </c>
      <c r="C364" s="9" t="s">
        <v>22</v>
      </c>
      <c r="D364" s="9">
        <v>833.49</v>
      </c>
      <c r="E364" s="9" t="s">
        <v>7</v>
      </c>
      <c r="F364" s="12">
        <f>YEAR(Personal_Finance_Dataset[[#This Row],[Date]])</f>
        <v>2020</v>
      </c>
      <c r="G364">
        <f t="shared" si="5"/>
        <v>2020</v>
      </c>
    </row>
    <row r="365" spans="1:7" x14ac:dyDescent="0.25">
      <c r="A365" s="8">
        <v>44195</v>
      </c>
      <c r="B365" s="9" t="s">
        <v>380</v>
      </c>
      <c r="C365" s="9" t="s">
        <v>17</v>
      </c>
      <c r="D365" s="9">
        <v>837.82</v>
      </c>
      <c r="E365" s="9" t="s">
        <v>7</v>
      </c>
      <c r="F365" s="12">
        <f>YEAR(Personal_Finance_Dataset[[#This Row],[Date]])</f>
        <v>2020</v>
      </c>
      <c r="G365">
        <f t="shared" si="5"/>
        <v>2020</v>
      </c>
    </row>
    <row r="366" spans="1:7" x14ac:dyDescent="0.25">
      <c r="A366" s="8">
        <v>44196</v>
      </c>
      <c r="B366" s="9" t="s">
        <v>381</v>
      </c>
      <c r="C366" s="9" t="s">
        <v>20</v>
      </c>
      <c r="D366" s="9">
        <v>3060</v>
      </c>
      <c r="E366" s="9" t="s">
        <v>14</v>
      </c>
      <c r="F366" s="12">
        <f>YEAR(Personal_Finance_Dataset[[#This Row],[Date]])</f>
        <v>2020</v>
      </c>
      <c r="G366">
        <f t="shared" si="5"/>
        <v>2020</v>
      </c>
    </row>
    <row r="367" spans="1:7" x14ac:dyDescent="0.25">
      <c r="A367" s="8">
        <v>44197</v>
      </c>
      <c r="B367" s="9" t="s">
        <v>382</v>
      </c>
      <c r="C367" s="9" t="s">
        <v>25</v>
      </c>
      <c r="D367" s="9">
        <v>1907.65</v>
      </c>
      <c r="E367" s="9" t="s">
        <v>7</v>
      </c>
      <c r="F367" s="12">
        <f>YEAR(Personal_Finance_Dataset[[#This Row],[Date]])</f>
        <v>2021</v>
      </c>
      <c r="G367">
        <f t="shared" si="5"/>
        <v>2021</v>
      </c>
    </row>
    <row r="368" spans="1:7" x14ac:dyDescent="0.25">
      <c r="A368" s="8">
        <v>44198</v>
      </c>
      <c r="B368" s="9" t="s">
        <v>383</v>
      </c>
      <c r="C368" s="9" t="s">
        <v>27</v>
      </c>
      <c r="D368" s="9">
        <v>143.6</v>
      </c>
      <c r="E368" s="9" t="s">
        <v>7</v>
      </c>
      <c r="F368" s="12">
        <f>YEAR(Personal_Finance_Dataset[[#This Row],[Date]])</f>
        <v>2021</v>
      </c>
      <c r="G368">
        <f t="shared" si="5"/>
        <v>2021</v>
      </c>
    </row>
    <row r="369" spans="1:7" x14ac:dyDescent="0.25">
      <c r="A369" s="8">
        <v>44199</v>
      </c>
      <c r="B369" s="9" t="s">
        <v>384</v>
      </c>
      <c r="C369" s="9" t="s">
        <v>11</v>
      </c>
      <c r="D369" s="9">
        <v>869.43</v>
      </c>
      <c r="E369" s="9" t="s">
        <v>7</v>
      </c>
      <c r="F369" s="12">
        <f>YEAR(Personal_Finance_Dataset[[#This Row],[Date]])</f>
        <v>2021</v>
      </c>
      <c r="G369">
        <f t="shared" si="5"/>
        <v>2021</v>
      </c>
    </row>
    <row r="370" spans="1:7" x14ac:dyDescent="0.25">
      <c r="A370" s="8">
        <v>44200</v>
      </c>
      <c r="B370" s="9" t="s">
        <v>385</v>
      </c>
      <c r="C370" s="9" t="s">
        <v>25</v>
      </c>
      <c r="D370" s="9">
        <v>1625.42</v>
      </c>
      <c r="E370" s="9" t="s">
        <v>7</v>
      </c>
      <c r="F370" s="12">
        <f>YEAR(Personal_Finance_Dataset[[#This Row],[Date]])</f>
        <v>2021</v>
      </c>
      <c r="G370">
        <f t="shared" si="5"/>
        <v>2021</v>
      </c>
    </row>
    <row r="371" spans="1:7" x14ac:dyDescent="0.25">
      <c r="A371" s="8">
        <v>44201</v>
      </c>
      <c r="B371" s="9" t="s">
        <v>386</v>
      </c>
      <c r="C371" s="9" t="s">
        <v>25</v>
      </c>
      <c r="D371" s="9">
        <v>1343.33</v>
      </c>
      <c r="E371" s="9" t="s">
        <v>7</v>
      </c>
      <c r="F371" s="12">
        <f>YEAR(Personal_Finance_Dataset[[#This Row],[Date]])</f>
        <v>2021</v>
      </c>
      <c r="G371">
        <f t="shared" si="5"/>
        <v>2021</v>
      </c>
    </row>
    <row r="372" spans="1:7" x14ac:dyDescent="0.25">
      <c r="A372" s="8">
        <v>44202</v>
      </c>
      <c r="B372" s="9" t="s">
        <v>387</v>
      </c>
      <c r="C372" s="9" t="s">
        <v>17</v>
      </c>
      <c r="D372" s="9">
        <v>1737.5</v>
      </c>
      <c r="E372" s="9" t="s">
        <v>7</v>
      </c>
      <c r="F372" s="12">
        <f>YEAR(Personal_Finance_Dataset[[#This Row],[Date]])</f>
        <v>2021</v>
      </c>
      <c r="G372">
        <f t="shared" si="5"/>
        <v>2021</v>
      </c>
    </row>
    <row r="373" spans="1:7" x14ac:dyDescent="0.25">
      <c r="A373" s="8">
        <v>44203</v>
      </c>
      <c r="B373" s="9" t="s">
        <v>388</v>
      </c>
      <c r="C373" s="9" t="s">
        <v>35</v>
      </c>
      <c r="D373" s="9">
        <v>1204.82</v>
      </c>
      <c r="E373" s="9" t="s">
        <v>7</v>
      </c>
      <c r="F373" s="12">
        <f>YEAR(Personal_Finance_Dataset[[#This Row],[Date]])</f>
        <v>2021</v>
      </c>
      <c r="G373">
        <f t="shared" si="5"/>
        <v>2021</v>
      </c>
    </row>
    <row r="374" spans="1:7" x14ac:dyDescent="0.25">
      <c r="A374" s="8">
        <v>44204</v>
      </c>
      <c r="B374" s="9" t="s">
        <v>389</v>
      </c>
      <c r="C374" s="9" t="s">
        <v>22</v>
      </c>
      <c r="D374" s="9">
        <v>317.91000000000003</v>
      </c>
      <c r="E374" s="9" t="s">
        <v>7</v>
      </c>
      <c r="F374" s="12">
        <f>YEAR(Personal_Finance_Dataset[[#This Row],[Date]])</f>
        <v>2021</v>
      </c>
      <c r="G374">
        <f t="shared" si="5"/>
        <v>2021</v>
      </c>
    </row>
    <row r="375" spans="1:7" x14ac:dyDescent="0.25">
      <c r="A375" s="8">
        <v>44205</v>
      </c>
      <c r="B375" s="9" t="s">
        <v>390</v>
      </c>
      <c r="C375" s="9" t="s">
        <v>11</v>
      </c>
      <c r="D375" s="9">
        <v>706.73</v>
      </c>
      <c r="E375" s="9" t="s">
        <v>7</v>
      </c>
      <c r="F375" s="12">
        <f>YEAR(Personal_Finance_Dataset[[#This Row],[Date]])</f>
        <v>2021</v>
      </c>
      <c r="G375">
        <f t="shared" si="5"/>
        <v>2021</v>
      </c>
    </row>
    <row r="376" spans="1:7" x14ac:dyDescent="0.25">
      <c r="A376" s="8">
        <v>44206</v>
      </c>
      <c r="B376" s="9" t="s">
        <v>391</v>
      </c>
      <c r="C376" s="9" t="s">
        <v>11</v>
      </c>
      <c r="D376" s="9">
        <v>1527.59</v>
      </c>
      <c r="E376" s="9" t="s">
        <v>7</v>
      </c>
      <c r="F376" s="12">
        <f>YEAR(Personal_Finance_Dataset[[#This Row],[Date]])</f>
        <v>2021</v>
      </c>
      <c r="G376">
        <f t="shared" si="5"/>
        <v>2021</v>
      </c>
    </row>
    <row r="377" spans="1:7" x14ac:dyDescent="0.25">
      <c r="A377" s="8">
        <v>44207</v>
      </c>
      <c r="B377" s="9" t="s">
        <v>392</v>
      </c>
      <c r="C377" s="9" t="s">
        <v>17</v>
      </c>
      <c r="D377" s="9">
        <v>1691.86</v>
      </c>
      <c r="E377" s="9" t="s">
        <v>7</v>
      </c>
      <c r="F377" s="12">
        <f>YEAR(Personal_Finance_Dataset[[#This Row],[Date]])</f>
        <v>2021</v>
      </c>
      <c r="G377">
        <f t="shared" si="5"/>
        <v>2021</v>
      </c>
    </row>
    <row r="378" spans="1:7" x14ac:dyDescent="0.25">
      <c r="A378" s="8">
        <v>44208</v>
      </c>
      <c r="B378" s="9" t="s">
        <v>393</v>
      </c>
      <c r="C378" s="9" t="s">
        <v>6</v>
      </c>
      <c r="D378" s="9">
        <v>1221.9000000000001</v>
      </c>
      <c r="E378" s="9" t="s">
        <v>7</v>
      </c>
      <c r="F378" s="12">
        <f>YEAR(Personal_Finance_Dataset[[#This Row],[Date]])</f>
        <v>2021</v>
      </c>
      <c r="G378">
        <f t="shared" si="5"/>
        <v>2021</v>
      </c>
    </row>
    <row r="379" spans="1:7" x14ac:dyDescent="0.25">
      <c r="A379" s="8">
        <v>44209</v>
      </c>
      <c r="B379" s="9" t="s">
        <v>394</v>
      </c>
      <c r="C379" s="9" t="s">
        <v>35</v>
      </c>
      <c r="D379" s="9">
        <v>67.62</v>
      </c>
      <c r="E379" s="9" t="s">
        <v>7</v>
      </c>
      <c r="F379" s="12">
        <f>YEAR(Personal_Finance_Dataset[[#This Row],[Date]])</f>
        <v>2021</v>
      </c>
      <c r="G379">
        <f t="shared" si="5"/>
        <v>2021</v>
      </c>
    </row>
    <row r="380" spans="1:7" x14ac:dyDescent="0.25">
      <c r="A380" s="8">
        <v>44210</v>
      </c>
      <c r="B380" s="9" t="s">
        <v>395</v>
      </c>
      <c r="C380" s="9" t="s">
        <v>35</v>
      </c>
      <c r="D380" s="9">
        <v>1843.86</v>
      </c>
      <c r="E380" s="9" t="s">
        <v>7</v>
      </c>
      <c r="F380" s="12">
        <f>YEAR(Personal_Finance_Dataset[[#This Row],[Date]])</f>
        <v>2021</v>
      </c>
      <c r="G380">
        <f t="shared" si="5"/>
        <v>2021</v>
      </c>
    </row>
    <row r="381" spans="1:7" x14ac:dyDescent="0.25">
      <c r="A381" s="8">
        <v>44211</v>
      </c>
      <c r="B381" s="9" t="s">
        <v>396</v>
      </c>
      <c r="C381" s="9" t="s">
        <v>9</v>
      </c>
      <c r="D381" s="9">
        <v>1741.03</v>
      </c>
      <c r="E381" s="9" t="s">
        <v>7</v>
      </c>
      <c r="F381" s="12">
        <f>YEAR(Personal_Finance_Dataset[[#This Row],[Date]])</f>
        <v>2021</v>
      </c>
      <c r="G381">
        <f t="shared" si="5"/>
        <v>2021</v>
      </c>
    </row>
    <row r="382" spans="1:7" x14ac:dyDescent="0.25">
      <c r="A382" s="8">
        <v>44212</v>
      </c>
      <c r="B382" s="9" t="s">
        <v>397</v>
      </c>
      <c r="C382" s="9" t="s">
        <v>17</v>
      </c>
      <c r="D382" s="9">
        <v>148.47</v>
      </c>
      <c r="E382" s="9" t="s">
        <v>7</v>
      </c>
      <c r="F382" s="12">
        <f>YEAR(Personal_Finance_Dataset[[#This Row],[Date]])</f>
        <v>2021</v>
      </c>
      <c r="G382">
        <f t="shared" si="5"/>
        <v>2021</v>
      </c>
    </row>
    <row r="383" spans="1:7" x14ac:dyDescent="0.25">
      <c r="A383" s="8">
        <v>44213</v>
      </c>
      <c r="B383" s="9" t="s">
        <v>398</v>
      </c>
      <c r="C383" s="9" t="s">
        <v>6</v>
      </c>
      <c r="D383" s="9">
        <v>192.6</v>
      </c>
      <c r="E383" s="9" t="s">
        <v>7</v>
      </c>
      <c r="F383" s="12">
        <f>YEAR(Personal_Finance_Dataset[[#This Row],[Date]])</f>
        <v>2021</v>
      </c>
      <c r="G383">
        <f t="shared" si="5"/>
        <v>2021</v>
      </c>
    </row>
    <row r="384" spans="1:7" x14ac:dyDescent="0.25">
      <c r="A384" s="8">
        <v>44214</v>
      </c>
      <c r="B384" s="9" t="s">
        <v>399</v>
      </c>
      <c r="C384" s="9" t="s">
        <v>17</v>
      </c>
      <c r="D384" s="9">
        <v>845.47</v>
      </c>
      <c r="E384" s="9" t="s">
        <v>7</v>
      </c>
      <c r="F384" s="12">
        <f>YEAR(Personal_Finance_Dataset[[#This Row],[Date]])</f>
        <v>2021</v>
      </c>
      <c r="G384">
        <f t="shared" si="5"/>
        <v>2021</v>
      </c>
    </row>
    <row r="385" spans="1:7" x14ac:dyDescent="0.25">
      <c r="A385" s="8">
        <v>44215</v>
      </c>
      <c r="B385" s="9" t="s">
        <v>400</v>
      </c>
      <c r="C385" s="9" t="s">
        <v>25</v>
      </c>
      <c r="D385" s="9">
        <v>630.16</v>
      </c>
      <c r="E385" s="9" t="s">
        <v>7</v>
      </c>
      <c r="F385" s="12">
        <f>YEAR(Personal_Finance_Dataset[[#This Row],[Date]])</f>
        <v>2021</v>
      </c>
      <c r="G385">
        <f t="shared" si="5"/>
        <v>2021</v>
      </c>
    </row>
    <row r="386" spans="1:7" x14ac:dyDescent="0.25">
      <c r="A386" s="8">
        <v>44216</v>
      </c>
      <c r="B386" s="9" t="s">
        <v>401</v>
      </c>
      <c r="C386" s="9" t="s">
        <v>11</v>
      </c>
      <c r="D386" s="9">
        <v>1767.85</v>
      </c>
      <c r="E386" s="9" t="s">
        <v>7</v>
      </c>
      <c r="F386" s="12">
        <f>YEAR(Personal_Finance_Dataset[[#This Row],[Date]])</f>
        <v>2021</v>
      </c>
      <c r="G386">
        <f t="shared" ref="G386:G449" si="6">YEAR(A386)</f>
        <v>2021</v>
      </c>
    </row>
    <row r="387" spans="1:7" x14ac:dyDescent="0.25">
      <c r="A387" s="8">
        <v>44217</v>
      </c>
      <c r="B387" s="9" t="s">
        <v>402</v>
      </c>
      <c r="C387" s="9" t="s">
        <v>13</v>
      </c>
      <c r="D387" s="9">
        <v>1168</v>
      </c>
      <c r="E387" s="9" t="s">
        <v>14</v>
      </c>
      <c r="F387" s="12">
        <f>YEAR(Personal_Finance_Dataset[[#This Row],[Date]])</f>
        <v>2021</v>
      </c>
      <c r="G387">
        <f t="shared" si="6"/>
        <v>2021</v>
      </c>
    </row>
    <row r="388" spans="1:7" x14ac:dyDescent="0.25">
      <c r="A388" s="8">
        <v>44218</v>
      </c>
      <c r="B388" s="9" t="s">
        <v>403</v>
      </c>
      <c r="C388" s="9" t="s">
        <v>17</v>
      </c>
      <c r="D388" s="9">
        <v>976.47</v>
      </c>
      <c r="E388" s="9" t="s">
        <v>7</v>
      </c>
      <c r="F388" s="12">
        <f>YEAR(Personal_Finance_Dataset[[#This Row],[Date]])</f>
        <v>2021</v>
      </c>
      <c r="G388">
        <f t="shared" si="6"/>
        <v>2021</v>
      </c>
    </row>
    <row r="389" spans="1:7" x14ac:dyDescent="0.25">
      <c r="A389" s="8">
        <v>44219</v>
      </c>
      <c r="B389" s="9" t="s">
        <v>404</v>
      </c>
      <c r="C389" s="9" t="s">
        <v>35</v>
      </c>
      <c r="D389" s="9">
        <v>438.98</v>
      </c>
      <c r="E389" s="9" t="s">
        <v>7</v>
      </c>
      <c r="F389" s="12">
        <f>YEAR(Personal_Finance_Dataset[[#This Row],[Date]])</f>
        <v>2021</v>
      </c>
      <c r="G389">
        <f t="shared" si="6"/>
        <v>2021</v>
      </c>
    </row>
    <row r="390" spans="1:7" x14ac:dyDescent="0.25">
      <c r="A390" s="8">
        <v>44220</v>
      </c>
      <c r="B390" s="9" t="s">
        <v>405</v>
      </c>
      <c r="C390" s="9" t="s">
        <v>25</v>
      </c>
      <c r="D390" s="9">
        <v>865.53</v>
      </c>
      <c r="E390" s="9" t="s">
        <v>7</v>
      </c>
      <c r="F390" s="12">
        <f>YEAR(Personal_Finance_Dataset[[#This Row],[Date]])</f>
        <v>2021</v>
      </c>
      <c r="G390">
        <f t="shared" si="6"/>
        <v>2021</v>
      </c>
    </row>
    <row r="391" spans="1:7" x14ac:dyDescent="0.25">
      <c r="A391" s="8">
        <v>44221</v>
      </c>
      <c r="B391" s="9" t="s">
        <v>406</v>
      </c>
      <c r="C391" s="9" t="s">
        <v>27</v>
      </c>
      <c r="D391" s="9">
        <v>1058.5999999999999</v>
      </c>
      <c r="E391" s="9" t="s">
        <v>7</v>
      </c>
      <c r="F391" s="12">
        <f>YEAR(Personal_Finance_Dataset[[#This Row],[Date]])</f>
        <v>2021</v>
      </c>
      <c r="G391">
        <f t="shared" si="6"/>
        <v>2021</v>
      </c>
    </row>
    <row r="392" spans="1:7" x14ac:dyDescent="0.25">
      <c r="A392" s="8">
        <v>44222</v>
      </c>
      <c r="B392" s="9" t="s">
        <v>407</v>
      </c>
      <c r="C392" s="9" t="s">
        <v>22</v>
      </c>
      <c r="D392" s="9">
        <v>796.57</v>
      </c>
      <c r="E392" s="9" t="s">
        <v>7</v>
      </c>
      <c r="F392" s="12">
        <f>YEAR(Personal_Finance_Dataset[[#This Row],[Date]])</f>
        <v>2021</v>
      </c>
      <c r="G392">
        <f t="shared" si="6"/>
        <v>2021</v>
      </c>
    </row>
    <row r="393" spans="1:7" x14ac:dyDescent="0.25">
      <c r="A393" s="8">
        <v>44223</v>
      </c>
      <c r="B393" s="9" t="s">
        <v>408</v>
      </c>
      <c r="C393" s="9" t="s">
        <v>6</v>
      </c>
      <c r="D393" s="9">
        <v>416.8</v>
      </c>
      <c r="E393" s="9" t="s">
        <v>7</v>
      </c>
      <c r="F393" s="12">
        <f>YEAR(Personal_Finance_Dataset[[#This Row],[Date]])</f>
        <v>2021</v>
      </c>
      <c r="G393">
        <f t="shared" si="6"/>
        <v>2021</v>
      </c>
    </row>
    <row r="394" spans="1:7" x14ac:dyDescent="0.25">
      <c r="A394" s="8">
        <v>44224</v>
      </c>
      <c r="B394" s="9" t="s">
        <v>409</v>
      </c>
      <c r="C394" s="9" t="s">
        <v>9</v>
      </c>
      <c r="D394" s="9">
        <v>1530.68</v>
      </c>
      <c r="E394" s="9" t="s">
        <v>7</v>
      </c>
      <c r="F394" s="12">
        <f>YEAR(Personal_Finance_Dataset[[#This Row],[Date]])</f>
        <v>2021</v>
      </c>
      <c r="G394">
        <f t="shared" si="6"/>
        <v>2021</v>
      </c>
    </row>
    <row r="395" spans="1:7" x14ac:dyDescent="0.25">
      <c r="A395" s="8">
        <v>44225</v>
      </c>
      <c r="B395" s="9" t="s">
        <v>410</v>
      </c>
      <c r="C395" s="9" t="s">
        <v>11</v>
      </c>
      <c r="D395" s="9">
        <v>25.38</v>
      </c>
      <c r="E395" s="9" t="s">
        <v>7</v>
      </c>
      <c r="F395" s="12">
        <f>YEAR(Personal_Finance_Dataset[[#This Row],[Date]])</f>
        <v>2021</v>
      </c>
      <c r="G395">
        <f t="shared" si="6"/>
        <v>2021</v>
      </c>
    </row>
    <row r="396" spans="1:7" x14ac:dyDescent="0.25">
      <c r="A396" s="8">
        <v>44226</v>
      </c>
      <c r="B396" s="9" t="s">
        <v>411</v>
      </c>
      <c r="C396" s="9" t="s">
        <v>9</v>
      </c>
      <c r="D396" s="9">
        <v>267.08</v>
      </c>
      <c r="E396" s="9" t="s">
        <v>7</v>
      </c>
      <c r="F396" s="12">
        <f>YEAR(Personal_Finance_Dataset[[#This Row],[Date]])</f>
        <v>2021</v>
      </c>
      <c r="G396">
        <f t="shared" si="6"/>
        <v>2021</v>
      </c>
    </row>
    <row r="397" spans="1:7" x14ac:dyDescent="0.25">
      <c r="A397" s="8">
        <v>44227</v>
      </c>
      <c r="B397" s="9" t="s">
        <v>412</v>
      </c>
      <c r="C397" s="9" t="s">
        <v>22</v>
      </c>
      <c r="D397" s="9">
        <v>1005.52</v>
      </c>
      <c r="E397" s="9" t="s">
        <v>7</v>
      </c>
      <c r="F397" s="12">
        <f>YEAR(Personal_Finance_Dataset[[#This Row],[Date]])</f>
        <v>2021</v>
      </c>
      <c r="G397">
        <f t="shared" si="6"/>
        <v>2021</v>
      </c>
    </row>
    <row r="398" spans="1:7" x14ac:dyDescent="0.25">
      <c r="A398" s="8">
        <v>44228</v>
      </c>
      <c r="B398" s="9" t="s">
        <v>413</v>
      </c>
      <c r="C398" s="9" t="s">
        <v>25</v>
      </c>
      <c r="D398" s="9">
        <v>153.43</v>
      </c>
      <c r="E398" s="9" t="s">
        <v>7</v>
      </c>
      <c r="F398" s="12">
        <f>YEAR(Personal_Finance_Dataset[[#This Row],[Date]])</f>
        <v>2021</v>
      </c>
      <c r="G398">
        <f t="shared" si="6"/>
        <v>2021</v>
      </c>
    </row>
    <row r="399" spans="1:7" x14ac:dyDescent="0.25">
      <c r="A399" s="8">
        <v>44229</v>
      </c>
      <c r="B399" s="9" t="s">
        <v>414</v>
      </c>
      <c r="C399" s="9" t="s">
        <v>6</v>
      </c>
      <c r="D399" s="9">
        <v>878.08</v>
      </c>
      <c r="E399" s="9" t="s">
        <v>7</v>
      </c>
      <c r="F399" s="12">
        <f>YEAR(Personal_Finance_Dataset[[#This Row],[Date]])</f>
        <v>2021</v>
      </c>
      <c r="G399">
        <f t="shared" si="6"/>
        <v>2021</v>
      </c>
    </row>
    <row r="400" spans="1:7" x14ac:dyDescent="0.25">
      <c r="A400" s="8">
        <v>44230</v>
      </c>
      <c r="B400" s="9" t="s">
        <v>415</v>
      </c>
      <c r="C400" s="9" t="s">
        <v>11</v>
      </c>
      <c r="D400" s="9">
        <v>1725.6</v>
      </c>
      <c r="E400" s="9" t="s">
        <v>7</v>
      </c>
      <c r="F400" s="12">
        <f>YEAR(Personal_Finance_Dataset[[#This Row],[Date]])</f>
        <v>2021</v>
      </c>
      <c r="G400">
        <f t="shared" si="6"/>
        <v>2021</v>
      </c>
    </row>
    <row r="401" spans="1:7" x14ac:dyDescent="0.25">
      <c r="A401" s="8">
        <v>44231</v>
      </c>
      <c r="B401" s="9" t="s">
        <v>416</v>
      </c>
      <c r="C401" s="9" t="s">
        <v>17</v>
      </c>
      <c r="D401" s="9">
        <v>1421.9</v>
      </c>
      <c r="E401" s="9" t="s">
        <v>7</v>
      </c>
      <c r="F401" s="12">
        <f>YEAR(Personal_Finance_Dataset[[#This Row],[Date]])</f>
        <v>2021</v>
      </c>
      <c r="G401">
        <f t="shared" si="6"/>
        <v>2021</v>
      </c>
    </row>
    <row r="402" spans="1:7" x14ac:dyDescent="0.25">
      <c r="A402" s="8">
        <v>44232</v>
      </c>
      <c r="B402" s="9" t="s">
        <v>417</v>
      </c>
      <c r="C402" s="9" t="s">
        <v>11</v>
      </c>
      <c r="D402" s="9">
        <v>816.01</v>
      </c>
      <c r="E402" s="9" t="s">
        <v>7</v>
      </c>
      <c r="F402" s="12">
        <f>YEAR(Personal_Finance_Dataset[[#This Row],[Date]])</f>
        <v>2021</v>
      </c>
      <c r="G402">
        <f t="shared" si="6"/>
        <v>2021</v>
      </c>
    </row>
    <row r="403" spans="1:7" x14ac:dyDescent="0.25">
      <c r="A403" s="8">
        <v>44233</v>
      </c>
      <c r="B403" s="9" t="s">
        <v>418</v>
      </c>
      <c r="C403" s="9" t="s">
        <v>9</v>
      </c>
      <c r="D403" s="9">
        <v>1604.63</v>
      </c>
      <c r="E403" s="9" t="s">
        <v>7</v>
      </c>
      <c r="F403" s="12">
        <f>YEAR(Personal_Finance_Dataset[[#This Row],[Date]])</f>
        <v>2021</v>
      </c>
      <c r="G403">
        <f t="shared" si="6"/>
        <v>2021</v>
      </c>
    </row>
    <row r="404" spans="1:7" x14ac:dyDescent="0.25">
      <c r="A404" s="8">
        <v>44234</v>
      </c>
      <c r="B404" s="9" t="s">
        <v>419</v>
      </c>
      <c r="C404" s="9" t="s">
        <v>25</v>
      </c>
      <c r="D404" s="9">
        <v>185.38</v>
      </c>
      <c r="E404" s="9" t="s">
        <v>7</v>
      </c>
      <c r="F404" s="12">
        <f>YEAR(Personal_Finance_Dataset[[#This Row],[Date]])</f>
        <v>2021</v>
      </c>
      <c r="G404">
        <f t="shared" si="6"/>
        <v>2021</v>
      </c>
    </row>
    <row r="405" spans="1:7" x14ac:dyDescent="0.25">
      <c r="A405" s="8">
        <v>44235</v>
      </c>
      <c r="B405" s="9" t="s">
        <v>420</v>
      </c>
      <c r="C405" s="9" t="s">
        <v>22</v>
      </c>
      <c r="D405" s="9">
        <v>877</v>
      </c>
      <c r="E405" s="9" t="s">
        <v>7</v>
      </c>
      <c r="F405" s="12">
        <f>YEAR(Personal_Finance_Dataset[[#This Row],[Date]])</f>
        <v>2021</v>
      </c>
      <c r="G405">
        <f t="shared" si="6"/>
        <v>2021</v>
      </c>
    </row>
    <row r="406" spans="1:7" x14ac:dyDescent="0.25">
      <c r="A406" s="8">
        <v>44236</v>
      </c>
      <c r="B406" s="9" t="s">
        <v>421</v>
      </c>
      <c r="C406" s="9" t="s">
        <v>11</v>
      </c>
      <c r="D406" s="9">
        <v>797.58</v>
      </c>
      <c r="E406" s="9" t="s">
        <v>7</v>
      </c>
      <c r="F406" s="12">
        <f>YEAR(Personal_Finance_Dataset[[#This Row],[Date]])</f>
        <v>2021</v>
      </c>
      <c r="G406">
        <f t="shared" si="6"/>
        <v>2021</v>
      </c>
    </row>
    <row r="407" spans="1:7" x14ac:dyDescent="0.25">
      <c r="A407" s="8">
        <v>44237</v>
      </c>
      <c r="B407" s="9" t="s">
        <v>422</v>
      </c>
      <c r="C407" s="9" t="s">
        <v>25</v>
      </c>
      <c r="D407" s="9">
        <v>450.93</v>
      </c>
      <c r="E407" s="9" t="s">
        <v>7</v>
      </c>
      <c r="F407" s="12">
        <f>YEAR(Personal_Finance_Dataset[[#This Row],[Date]])</f>
        <v>2021</v>
      </c>
      <c r="G407">
        <f t="shared" si="6"/>
        <v>2021</v>
      </c>
    </row>
    <row r="408" spans="1:7" x14ac:dyDescent="0.25">
      <c r="A408" s="8">
        <v>44238</v>
      </c>
      <c r="B408" s="9" t="s">
        <v>423</v>
      </c>
      <c r="C408" s="9" t="s">
        <v>11</v>
      </c>
      <c r="D408" s="9">
        <v>1025.8599999999999</v>
      </c>
      <c r="E408" s="9" t="s">
        <v>7</v>
      </c>
      <c r="F408" s="12">
        <f>YEAR(Personal_Finance_Dataset[[#This Row],[Date]])</f>
        <v>2021</v>
      </c>
      <c r="G408">
        <f t="shared" si="6"/>
        <v>2021</v>
      </c>
    </row>
    <row r="409" spans="1:7" x14ac:dyDescent="0.25">
      <c r="A409" s="8">
        <v>44239</v>
      </c>
      <c r="B409" s="9" t="s">
        <v>424</v>
      </c>
      <c r="C409" s="9" t="s">
        <v>13</v>
      </c>
      <c r="D409" s="9">
        <v>3362</v>
      </c>
      <c r="E409" s="9" t="s">
        <v>14</v>
      </c>
      <c r="F409" s="12">
        <f>YEAR(Personal_Finance_Dataset[[#This Row],[Date]])</f>
        <v>2021</v>
      </c>
      <c r="G409">
        <f t="shared" si="6"/>
        <v>2021</v>
      </c>
    </row>
    <row r="410" spans="1:7" x14ac:dyDescent="0.25">
      <c r="A410" s="8">
        <v>44240</v>
      </c>
      <c r="B410" s="9" t="s">
        <v>425</v>
      </c>
      <c r="C410" s="9" t="s">
        <v>9</v>
      </c>
      <c r="D410" s="9">
        <v>480.18</v>
      </c>
      <c r="E410" s="9" t="s">
        <v>7</v>
      </c>
      <c r="F410" s="12">
        <f>YEAR(Personal_Finance_Dataset[[#This Row],[Date]])</f>
        <v>2021</v>
      </c>
      <c r="G410">
        <f t="shared" si="6"/>
        <v>2021</v>
      </c>
    </row>
    <row r="411" spans="1:7" x14ac:dyDescent="0.25">
      <c r="A411" s="8">
        <v>44241</v>
      </c>
      <c r="B411" s="9" t="s">
        <v>426</v>
      </c>
      <c r="C411" s="9" t="s">
        <v>13</v>
      </c>
      <c r="D411" s="9">
        <v>1921</v>
      </c>
      <c r="E411" s="9" t="s">
        <v>14</v>
      </c>
      <c r="F411" s="12">
        <f>YEAR(Personal_Finance_Dataset[[#This Row],[Date]])</f>
        <v>2021</v>
      </c>
      <c r="G411">
        <f t="shared" si="6"/>
        <v>2021</v>
      </c>
    </row>
    <row r="412" spans="1:7" x14ac:dyDescent="0.25">
      <c r="A412" s="8">
        <v>44242</v>
      </c>
      <c r="B412" s="9" t="s">
        <v>427</v>
      </c>
      <c r="C412" s="9" t="s">
        <v>11</v>
      </c>
      <c r="D412" s="9">
        <v>362.52</v>
      </c>
      <c r="E412" s="9" t="s">
        <v>7</v>
      </c>
      <c r="F412" s="12">
        <f>YEAR(Personal_Finance_Dataset[[#This Row],[Date]])</f>
        <v>2021</v>
      </c>
      <c r="G412">
        <f t="shared" si="6"/>
        <v>2021</v>
      </c>
    </row>
    <row r="413" spans="1:7" x14ac:dyDescent="0.25">
      <c r="A413" s="8">
        <v>44243</v>
      </c>
      <c r="B413" s="9" t="s">
        <v>428</v>
      </c>
      <c r="C413" s="9" t="s">
        <v>27</v>
      </c>
      <c r="D413" s="9">
        <v>933.27</v>
      </c>
      <c r="E413" s="9" t="s">
        <v>7</v>
      </c>
      <c r="F413" s="12">
        <f>YEAR(Personal_Finance_Dataset[[#This Row],[Date]])</f>
        <v>2021</v>
      </c>
      <c r="G413">
        <f t="shared" si="6"/>
        <v>2021</v>
      </c>
    </row>
    <row r="414" spans="1:7" x14ac:dyDescent="0.25">
      <c r="A414" s="8">
        <v>44244</v>
      </c>
      <c r="B414" s="9" t="s">
        <v>429</v>
      </c>
      <c r="C414" s="9" t="s">
        <v>27</v>
      </c>
      <c r="D414" s="9">
        <v>1365.46</v>
      </c>
      <c r="E414" s="9" t="s">
        <v>7</v>
      </c>
      <c r="F414" s="12">
        <f>YEAR(Personal_Finance_Dataset[[#This Row],[Date]])</f>
        <v>2021</v>
      </c>
      <c r="G414">
        <f t="shared" si="6"/>
        <v>2021</v>
      </c>
    </row>
    <row r="415" spans="1:7" x14ac:dyDescent="0.25">
      <c r="A415" s="8">
        <v>44245</v>
      </c>
      <c r="B415" s="9" t="s">
        <v>430</v>
      </c>
      <c r="C415" s="9" t="s">
        <v>25</v>
      </c>
      <c r="D415" s="9">
        <v>1729.85</v>
      </c>
      <c r="E415" s="9" t="s">
        <v>7</v>
      </c>
      <c r="F415" s="12">
        <f>YEAR(Personal_Finance_Dataset[[#This Row],[Date]])</f>
        <v>2021</v>
      </c>
      <c r="G415">
        <f t="shared" si="6"/>
        <v>2021</v>
      </c>
    </row>
    <row r="416" spans="1:7" x14ac:dyDescent="0.25">
      <c r="A416" s="8">
        <v>44246</v>
      </c>
      <c r="B416" s="9" t="s">
        <v>431</v>
      </c>
      <c r="C416" s="9" t="s">
        <v>9</v>
      </c>
      <c r="D416" s="9">
        <v>885.13</v>
      </c>
      <c r="E416" s="9" t="s">
        <v>7</v>
      </c>
      <c r="F416" s="12">
        <f>YEAR(Personal_Finance_Dataset[[#This Row],[Date]])</f>
        <v>2021</v>
      </c>
      <c r="G416">
        <f t="shared" si="6"/>
        <v>2021</v>
      </c>
    </row>
    <row r="417" spans="1:7" x14ac:dyDescent="0.25">
      <c r="A417" s="8">
        <v>44247</v>
      </c>
      <c r="B417" s="9" t="s">
        <v>432</v>
      </c>
      <c r="C417" s="9" t="s">
        <v>35</v>
      </c>
      <c r="D417" s="9">
        <v>1594.7</v>
      </c>
      <c r="E417" s="9" t="s">
        <v>7</v>
      </c>
      <c r="F417" s="12">
        <f>YEAR(Personal_Finance_Dataset[[#This Row],[Date]])</f>
        <v>2021</v>
      </c>
      <c r="G417">
        <f t="shared" si="6"/>
        <v>2021</v>
      </c>
    </row>
    <row r="418" spans="1:7" x14ac:dyDescent="0.25">
      <c r="A418" s="8">
        <v>44248</v>
      </c>
      <c r="B418" s="9" t="s">
        <v>433</v>
      </c>
      <c r="C418" s="9" t="s">
        <v>25</v>
      </c>
      <c r="D418" s="9">
        <v>1019.6</v>
      </c>
      <c r="E418" s="9" t="s">
        <v>7</v>
      </c>
      <c r="F418" s="12">
        <f>YEAR(Personal_Finance_Dataset[[#This Row],[Date]])</f>
        <v>2021</v>
      </c>
      <c r="G418">
        <f t="shared" si="6"/>
        <v>2021</v>
      </c>
    </row>
    <row r="419" spans="1:7" x14ac:dyDescent="0.25">
      <c r="A419" s="8">
        <v>44249</v>
      </c>
      <c r="B419" s="9" t="s">
        <v>434</v>
      </c>
      <c r="C419" s="9" t="s">
        <v>27</v>
      </c>
      <c r="D419" s="9">
        <v>84.84</v>
      </c>
      <c r="E419" s="9" t="s">
        <v>7</v>
      </c>
      <c r="F419" s="12">
        <f>YEAR(Personal_Finance_Dataset[[#This Row],[Date]])</f>
        <v>2021</v>
      </c>
      <c r="G419">
        <f t="shared" si="6"/>
        <v>2021</v>
      </c>
    </row>
    <row r="420" spans="1:7" x14ac:dyDescent="0.25">
      <c r="A420" s="8">
        <v>44250</v>
      </c>
      <c r="B420" s="9" t="s">
        <v>435</v>
      </c>
      <c r="C420" s="9" t="s">
        <v>35</v>
      </c>
      <c r="D420" s="9">
        <v>162.69</v>
      </c>
      <c r="E420" s="9" t="s">
        <v>7</v>
      </c>
      <c r="F420" s="12">
        <f>YEAR(Personal_Finance_Dataset[[#This Row],[Date]])</f>
        <v>2021</v>
      </c>
      <c r="G420">
        <f t="shared" si="6"/>
        <v>2021</v>
      </c>
    </row>
    <row r="421" spans="1:7" x14ac:dyDescent="0.25">
      <c r="A421" s="8">
        <v>44251</v>
      </c>
      <c r="B421" s="9" t="s">
        <v>436</v>
      </c>
      <c r="C421" s="9" t="s">
        <v>11</v>
      </c>
      <c r="D421" s="9">
        <v>1233.8699999999999</v>
      </c>
      <c r="E421" s="9" t="s">
        <v>7</v>
      </c>
      <c r="F421" s="12">
        <f>YEAR(Personal_Finance_Dataset[[#This Row],[Date]])</f>
        <v>2021</v>
      </c>
      <c r="G421">
        <f t="shared" si="6"/>
        <v>2021</v>
      </c>
    </row>
    <row r="422" spans="1:7" x14ac:dyDescent="0.25">
      <c r="A422" s="8">
        <v>44252</v>
      </c>
      <c r="B422" s="9" t="s">
        <v>437</v>
      </c>
      <c r="C422" s="9" t="s">
        <v>27</v>
      </c>
      <c r="D422" s="9">
        <v>1164.8599999999999</v>
      </c>
      <c r="E422" s="9" t="s">
        <v>7</v>
      </c>
      <c r="F422" s="12">
        <f>YEAR(Personal_Finance_Dataset[[#This Row],[Date]])</f>
        <v>2021</v>
      </c>
      <c r="G422">
        <f t="shared" si="6"/>
        <v>2021</v>
      </c>
    </row>
    <row r="423" spans="1:7" x14ac:dyDescent="0.25">
      <c r="A423" s="8">
        <v>44253</v>
      </c>
      <c r="B423" s="9" t="s">
        <v>438</v>
      </c>
      <c r="C423" s="9" t="s">
        <v>6</v>
      </c>
      <c r="D423" s="9">
        <v>904.97</v>
      </c>
      <c r="E423" s="9" t="s">
        <v>7</v>
      </c>
      <c r="F423" s="12">
        <f>YEAR(Personal_Finance_Dataset[[#This Row],[Date]])</f>
        <v>2021</v>
      </c>
      <c r="G423">
        <f t="shared" si="6"/>
        <v>2021</v>
      </c>
    </row>
    <row r="424" spans="1:7" x14ac:dyDescent="0.25">
      <c r="A424" s="8">
        <v>44254</v>
      </c>
      <c r="B424" s="9" t="s">
        <v>439</v>
      </c>
      <c r="C424" s="9" t="s">
        <v>22</v>
      </c>
      <c r="D424" s="9">
        <v>649.84</v>
      </c>
      <c r="E424" s="9" t="s">
        <v>7</v>
      </c>
      <c r="F424" s="12">
        <f>YEAR(Personal_Finance_Dataset[[#This Row],[Date]])</f>
        <v>2021</v>
      </c>
      <c r="G424">
        <f t="shared" si="6"/>
        <v>2021</v>
      </c>
    </row>
    <row r="425" spans="1:7" x14ac:dyDescent="0.25">
      <c r="A425" s="8">
        <v>44255</v>
      </c>
      <c r="B425" s="9" t="s">
        <v>440</v>
      </c>
      <c r="C425" s="9" t="s">
        <v>9</v>
      </c>
      <c r="D425" s="9">
        <v>1915.87</v>
      </c>
      <c r="E425" s="9" t="s">
        <v>7</v>
      </c>
      <c r="F425" s="12">
        <f>YEAR(Personal_Finance_Dataset[[#This Row],[Date]])</f>
        <v>2021</v>
      </c>
      <c r="G425">
        <f t="shared" si="6"/>
        <v>2021</v>
      </c>
    </row>
    <row r="426" spans="1:7" x14ac:dyDescent="0.25">
      <c r="A426" s="8">
        <v>44256</v>
      </c>
      <c r="B426" s="9" t="s">
        <v>441</v>
      </c>
      <c r="C426" s="9" t="s">
        <v>25</v>
      </c>
      <c r="D426" s="9">
        <v>1964.95</v>
      </c>
      <c r="E426" s="9" t="s">
        <v>7</v>
      </c>
      <c r="F426" s="12">
        <f>YEAR(Personal_Finance_Dataset[[#This Row],[Date]])</f>
        <v>2021</v>
      </c>
      <c r="G426">
        <f t="shared" si="6"/>
        <v>2021</v>
      </c>
    </row>
    <row r="427" spans="1:7" x14ac:dyDescent="0.25">
      <c r="A427" s="8">
        <v>44257</v>
      </c>
      <c r="B427" s="9" t="s">
        <v>442</v>
      </c>
      <c r="C427" s="9" t="s">
        <v>13</v>
      </c>
      <c r="D427" s="9">
        <v>820</v>
      </c>
      <c r="E427" s="9" t="s">
        <v>14</v>
      </c>
      <c r="F427" s="12">
        <f>YEAR(Personal_Finance_Dataset[[#This Row],[Date]])</f>
        <v>2021</v>
      </c>
      <c r="G427">
        <f t="shared" si="6"/>
        <v>2021</v>
      </c>
    </row>
    <row r="428" spans="1:7" x14ac:dyDescent="0.25">
      <c r="A428" s="8">
        <v>44258</v>
      </c>
      <c r="B428" s="9" t="s">
        <v>443</v>
      </c>
      <c r="C428" s="9" t="s">
        <v>27</v>
      </c>
      <c r="D428" s="9">
        <v>1982.06</v>
      </c>
      <c r="E428" s="9" t="s">
        <v>7</v>
      </c>
      <c r="F428" s="12">
        <f>YEAR(Personal_Finance_Dataset[[#This Row],[Date]])</f>
        <v>2021</v>
      </c>
      <c r="G428">
        <f t="shared" si="6"/>
        <v>2021</v>
      </c>
    </row>
    <row r="429" spans="1:7" x14ac:dyDescent="0.25">
      <c r="A429" s="8">
        <v>44259</v>
      </c>
      <c r="B429" s="9" t="s">
        <v>444</v>
      </c>
      <c r="C429" s="9" t="s">
        <v>9</v>
      </c>
      <c r="D429" s="9">
        <v>734.16</v>
      </c>
      <c r="E429" s="9" t="s">
        <v>7</v>
      </c>
      <c r="F429" s="12">
        <f>YEAR(Personal_Finance_Dataset[[#This Row],[Date]])</f>
        <v>2021</v>
      </c>
      <c r="G429">
        <f t="shared" si="6"/>
        <v>2021</v>
      </c>
    </row>
    <row r="430" spans="1:7" x14ac:dyDescent="0.25">
      <c r="A430" s="8">
        <v>44260</v>
      </c>
      <c r="B430" s="9" t="s">
        <v>445</v>
      </c>
      <c r="C430" s="9" t="s">
        <v>17</v>
      </c>
      <c r="D430" s="9">
        <v>823.45</v>
      </c>
      <c r="E430" s="9" t="s">
        <v>7</v>
      </c>
      <c r="F430" s="12">
        <f>YEAR(Personal_Finance_Dataset[[#This Row],[Date]])</f>
        <v>2021</v>
      </c>
      <c r="G430">
        <f t="shared" si="6"/>
        <v>2021</v>
      </c>
    </row>
    <row r="431" spans="1:7" x14ac:dyDescent="0.25">
      <c r="A431" s="8">
        <v>44261</v>
      </c>
      <c r="B431" s="9" t="s">
        <v>446</v>
      </c>
      <c r="C431" s="9" t="s">
        <v>6</v>
      </c>
      <c r="D431" s="9">
        <v>1580.56</v>
      </c>
      <c r="E431" s="9" t="s">
        <v>7</v>
      </c>
      <c r="F431" s="12">
        <f>YEAR(Personal_Finance_Dataset[[#This Row],[Date]])</f>
        <v>2021</v>
      </c>
      <c r="G431">
        <f t="shared" si="6"/>
        <v>2021</v>
      </c>
    </row>
    <row r="432" spans="1:7" x14ac:dyDescent="0.25">
      <c r="A432" s="8">
        <v>44262</v>
      </c>
      <c r="B432" s="9" t="s">
        <v>447</v>
      </c>
      <c r="C432" s="9" t="s">
        <v>11</v>
      </c>
      <c r="D432" s="9">
        <v>666.08</v>
      </c>
      <c r="E432" s="9" t="s">
        <v>7</v>
      </c>
      <c r="F432" s="12">
        <f>YEAR(Personal_Finance_Dataset[[#This Row],[Date]])</f>
        <v>2021</v>
      </c>
      <c r="G432">
        <f t="shared" si="6"/>
        <v>2021</v>
      </c>
    </row>
    <row r="433" spans="1:7" x14ac:dyDescent="0.25">
      <c r="A433" s="8">
        <v>44263</v>
      </c>
      <c r="B433" s="9" t="s">
        <v>448</v>
      </c>
      <c r="C433" s="9" t="s">
        <v>17</v>
      </c>
      <c r="D433" s="9">
        <v>575.45000000000005</v>
      </c>
      <c r="E433" s="9" t="s">
        <v>7</v>
      </c>
      <c r="F433" s="12">
        <f>YEAR(Personal_Finance_Dataset[[#This Row],[Date]])</f>
        <v>2021</v>
      </c>
      <c r="G433">
        <f t="shared" si="6"/>
        <v>2021</v>
      </c>
    </row>
    <row r="434" spans="1:7" x14ac:dyDescent="0.25">
      <c r="A434" s="8">
        <v>44264</v>
      </c>
      <c r="B434" s="9" t="s">
        <v>449</v>
      </c>
      <c r="C434" s="9" t="s">
        <v>9</v>
      </c>
      <c r="D434" s="9">
        <v>673.39</v>
      </c>
      <c r="E434" s="9" t="s">
        <v>7</v>
      </c>
      <c r="F434" s="12">
        <f>YEAR(Personal_Finance_Dataset[[#This Row],[Date]])</f>
        <v>2021</v>
      </c>
      <c r="G434">
        <f t="shared" si="6"/>
        <v>2021</v>
      </c>
    </row>
    <row r="435" spans="1:7" x14ac:dyDescent="0.25">
      <c r="A435" s="8">
        <v>44265</v>
      </c>
      <c r="B435" s="9" t="s">
        <v>450</v>
      </c>
      <c r="C435" s="9" t="s">
        <v>9</v>
      </c>
      <c r="D435" s="9">
        <v>1834.33</v>
      </c>
      <c r="E435" s="9" t="s">
        <v>7</v>
      </c>
      <c r="F435" s="12">
        <f>YEAR(Personal_Finance_Dataset[[#This Row],[Date]])</f>
        <v>2021</v>
      </c>
      <c r="G435">
        <f t="shared" si="6"/>
        <v>2021</v>
      </c>
    </row>
    <row r="436" spans="1:7" x14ac:dyDescent="0.25">
      <c r="A436" s="8">
        <v>44266</v>
      </c>
      <c r="B436" s="9" t="s">
        <v>451</v>
      </c>
      <c r="C436" s="9" t="s">
        <v>17</v>
      </c>
      <c r="D436" s="9">
        <v>266.61</v>
      </c>
      <c r="E436" s="9" t="s">
        <v>7</v>
      </c>
      <c r="F436" s="12">
        <f>YEAR(Personal_Finance_Dataset[[#This Row],[Date]])</f>
        <v>2021</v>
      </c>
      <c r="G436">
        <f t="shared" si="6"/>
        <v>2021</v>
      </c>
    </row>
    <row r="437" spans="1:7" x14ac:dyDescent="0.25">
      <c r="A437" s="8">
        <v>44267</v>
      </c>
      <c r="B437" s="9" t="s">
        <v>452</v>
      </c>
      <c r="C437" s="9" t="s">
        <v>11</v>
      </c>
      <c r="D437" s="9">
        <v>626.07000000000005</v>
      </c>
      <c r="E437" s="9" t="s">
        <v>7</v>
      </c>
      <c r="F437" s="12">
        <f>YEAR(Personal_Finance_Dataset[[#This Row],[Date]])</f>
        <v>2021</v>
      </c>
      <c r="G437">
        <f t="shared" si="6"/>
        <v>2021</v>
      </c>
    </row>
    <row r="438" spans="1:7" x14ac:dyDescent="0.25">
      <c r="A438" s="8">
        <v>44268</v>
      </c>
      <c r="B438" s="9" t="s">
        <v>453</v>
      </c>
      <c r="C438" s="9" t="s">
        <v>25</v>
      </c>
      <c r="D438" s="9">
        <v>1628.24</v>
      </c>
      <c r="E438" s="9" t="s">
        <v>7</v>
      </c>
      <c r="F438" s="12">
        <f>YEAR(Personal_Finance_Dataset[[#This Row],[Date]])</f>
        <v>2021</v>
      </c>
      <c r="G438">
        <f t="shared" si="6"/>
        <v>2021</v>
      </c>
    </row>
    <row r="439" spans="1:7" x14ac:dyDescent="0.25">
      <c r="A439" s="8">
        <v>44269</v>
      </c>
      <c r="B439" s="9" t="s">
        <v>454</v>
      </c>
      <c r="C439" s="9" t="s">
        <v>11</v>
      </c>
      <c r="D439" s="9">
        <v>1295.5899999999999</v>
      </c>
      <c r="E439" s="9" t="s">
        <v>7</v>
      </c>
      <c r="F439" s="12">
        <f>YEAR(Personal_Finance_Dataset[[#This Row],[Date]])</f>
        <v>2021</v>
      </c>
      <c r="G439">
        <f t="shared" si="6"/>
        <v>2021</v>
      </c>
    </row>
    <row r="440" spans="1:7" x14ac:dyDescent="0.25">
      <c r="A440" s="8">
        <v>44270</v>
      </c>
      <c r="B440" s="9" t="s">
        <v>455</v>
      </c>
      <c r="C440" s="9" t="s">
        <v>25</v>
      </c>
      <c r="D440" s="9">
        <v>46.28</v>
      </c>
      <c r="E440" s="9" t="s">
        <v>7</v>
      </c>
      <c r="F440" s="12">
        <f>YEAR(Personal_Finance_Dataset[[#This Row],[Date]])</f>
        <v>2021</v>
      </c>
      <c r="G440">
        <f t="shared" si="6"/>
        <v>2021</v>
      </c>
    </row>
    <row r="441" spans="1:7" x14ac:dyDescent="0.25">
      <c r="A441" s="8">
        <v>44271</v>
      </c>
      <c r="B441" s="9" t="s">
        <v>456</v>
      </c>
      <c r="C441" s="9" t="s">
        <v>22</v>
      </c>
      <c r="D441" s="9">
        <v>690.05</v>
      </c>
      <c r="E441" s="9" t="s">
        <v>7</v>
      </c>
      <c r="F441" s="12">
        <f>YEAR(Personal_Finance_Dataset[[#This Row],[Date]])</f>
        <v>2021</v>
      </c>
      <c r="G441">
        <f t="shared" si="6"/>
        <v>2021</v>
      </c>
    </row>
    <row r="442" spans="1:7" x14ac:dyDescent="0.25">
      <c r="A442" s="8">
        <v>44272</v>
      </c>
      <c r="B442" s="9" t="s">
        <v>457</v>
      </c>
      <c r="C442" s="9" t="s">
        <v>22</v>
      </c>
      <c r="D442" s="9">
        <v>460.82</v>
      </c>
      <c r="E442" s="9" t="s">
        <v>7</v>
      </c>
      <c r="F442" s="12">
        <f>YEAR(Personal_Finance_Dataset[[#This Row],[Date]])</f>
        <v>2021</v>
      </c>
      <c r="G442">
        <f t="shared" si="6"/>
        <v>2021</v>
      </c>
    </row>
    <row r="443" spans="1:7" x14ac:dyDescent="0.25">
      <c r="A443" s="8">
        <v>44273</v>
      </c>
      <c r="B443" s="9" t="s">
        <v>458</v>
      </c>
      <c r="C443" s="9" t="s">
        <v>13</v>
      </c>
      <c r="D443" s="9">
        <v>2923</v>
      </c>
      <c r="E443" s="9" t="s">
        <v>14</v>
      </c>
      <c r="F443" s="12">
        <f>YEAR(Personal_Finance_Dataset[[#This Row],[Date]])</f>
        <v>2021</v>
      </c>
      <c r="G443">
        <f t="shared" si="6"/>
        <v>2021</v>
      </c>
    </row>
    <row r="444" spans="1:7" x14ac:dyDescent="0.25">
      <c r="A444" s="8">
        <v>44274</v>
      </c>
      <c r="B444" s="9" t="s">
        <v>459</v>
      </c>
      <c r="C444" s="9" t="s">
        <v>11</v>
      </c>
      <c r="D444" s="9">
        <v>1020.3</v>
      </c>
      <c r="E444" s="9" t="s">
        <v>7</v>
      </c>
      <c r="F444" s="12">
        <f>YEAR(Personal_Finance_Dataset[[#This Row],[Date]])</f>
        <v>2021</v>
      </c>
      <c r="G444">
        <f t="shared" si="6"/>
        <v>2021</v>
      </c>
    </row>
    <row r="445" spans="1:7" x14ac:dyDescent="0.25">
      <c r="A445" s="8">
        <v>44275</v>
      </c>
      <c r="B445" s="9" t="s">
        <v>460</v>
      </c>
      <c r="C445" s="9" t="s">
        <v>6</v>
      </c>
      <c r="D445" s="9">
        <v>1327.24</v>
      </c>
      <c r="E445" s="9" t="s">
        <v>7</v>
      </c>
      <c r="F445" s="12">
        <f>YEAR(Personal_Finance_Dataset[[#This Row],[Date]])</f>
        <v>2021</v>
      </c>
      <c r="G445">
        <f t="shared" si="6"/>
        <v>2021</v>
      </c>
    </row>
    <row r="446" spans="1:7" x14ac:dyDescent="0.25">
      <c r="A446" s="8">
        <v>44276</v>
      </c>
      <c r="B446" s="9" t="s">
        <v>461</v>
      </c>
      <c r="C446" s="9" t="s">
        <v>9</v>
      </c>
      <c r="D446" s="9">
        <v>1198.52</v>
      </c>
      <c r="E446" s="9" t="s">
        <v>7</v>
      </c>
      <c r="F446" s="12">
        <f>YEAR(Personal_Finance_Dataset[[#This Row],[Date]])</f>
        <v>2021</v>
      </c>
      <c r="G446">
        <f t="shared" si="6"/>
        <v>2021</v>
      </c>
    </row>
    <row r="447" spans="1:7" x14ac:dyDescent="0.25">
      <c r="A447" s="8">
        <v>44277</v>
      </c>
      <c r="B447" s="9" t="s">
        <v>462</v>
      </c>
      <c r="C447" s="9" t="s">
        <v>13</v>
      </c>
      <c r="D447" s="9">
        <v>1856</v>
      </c>
      <c r="E447" s="9" t="s">
        <v>14</v>
      </c>
      <c r="F447" s="12">
        <f>YEAR(Personal_Finance_Dataset[[#This Row],[Date]])</f>
        <v>2021</v>
      </c>
      <c r="G447">
        <f t="shared" si="6"/>
        <v>2021</v>
      </c>
    </row>
    <row r="448" spans="1:7" x14ac:dyDescent="0.25">
      <c r="A448" s="8">
        <v>44278</v>
      </c>
      <c r="B448" s="9" t="s">
        <v>463</v>
      </c>
      <c r="C448" s="9" t="s">
        <v>6</v>
      </c>
      <c r="D448" s="9">
        <v>827.61</v>
      </c>
      <c r="E448" s="9" t="s">
        <v>7</v>
      </c>
      <c r="F448" s="12">
        <f>YEAR(Personal_Finance_Dataset[[#This Row],[Date]])</f>
        <v>2021</v>
      </c>
      <c r="G448">
        <f t="shared" si="6"/>
        <v>2021</v>
      </c>
    </row>
    <row r="449" spans="1:7" x14ac:dyDescent="0.25">
      <c r="A449" s="8">
        <v>44279</v>
      </c>
      <c r="B449" s="9" t="s">
        <v>464</v>
      </c>
      <c r="C449" s="9" t="s">
        <v>22</v>
      </c>
      <c r="D449" s="9">
        <v>1939.48</v>
      </c>
      <c r="E449" s="9" t="s">
        <v>7</v>
      </c>
      <c r="F449" s="12">
        <f>YEAR(Personal_Finance_Dataset[[#This Row],[Date]])</f>
        <v>2021</v>
      </c>
      <c r="G449">
        <f t="shared" si="6"/>
        <v>2021</v>
      </c>
    </row>
    <row r="450" spans="1:7" x14ac:dyDescent="0.25">
      <c r="A450" s="8">
        <v>44280</v>
      </c>
      <c r="B450" s="9" t="s">
        <v>465</v>
      </c>
      <c r="C450" s="9" t="s">
        <v>27</v>
      </c>
      <c r="D450" s="9">
        <v>475.67</v>
      </c>
      <c r="E450" s="9" t="s">
        <v>7</v>
      </c>
      <c r="F450" s="12">
        <f>YEAR(Personal_Finance_Dataset[[#This Row],[Date]])</f>
        <v>2021</v>
      </c>
      <c r="G450">
        <f t="shared" ref="G450:G513" si="7">YEAR(A450)</f>
        <v>2021</v>
      </c>
    </row>
    <row r="451" spans="1:7" x14ac:dyDescent="0.25">
      <c r="A451" s="8">
        <v>44281</v>
      </c>
      <c r="B451" s="9" t="s">
        <v>466</v>
      </c>
      <c r="C451" s="9" t="s">
        <v>27</v>
      </c>
      <c r="D451" s="9">
        <v>1808.91</v>
      </c>
      <c r="E451" s="9" t="s">
        <v>7</v>
      </c>
      <c r="F451" s="12">
        <f>YEAR(Personal_Finance_Dataset[[#This Row],[Date]])</f>
        <v>2021</v>
      </c>
      <c r="G451">
        <f t="shared" si="7"/>
        <v>2021</v>
      </c>
    </row>
    <row r="452" spans="1:7" x14ac:dyDescent="0.25">
      <c r="A452" s="8">
        <v>44282</v>
      </c>
      <c r="B452" s="9" t="s">
        <v>467</v>
      </c>
      <c r="C452" s="9" t="s">
        <v>20</v>
      </c>
      <c r="D452" s="9">
        <v>4282</v>
      </c>
      <c r="E452" s="9" t="s">
        <v>14</v>
      </c>
      <c r="F452" s="12">
        <f>YEAR(Personal_Finance_Dataset[[#This Row],[Date]])</f>
        <v>2021</v>
      </c>
      <c r="G452">
        <f t="shared" si="7"/>
        <v>2021</v>
      </c>
    </row>
    <row r="453" spans="1:7" x14ac:dyDescent="0.25">
      <c r="A453" s="8">
        <v>44283</v>
      </c>
      <c r="B453" s="9" t="s">
        <v>468</v>
      </c>
      <c r="C453" s="9" t="s">
        <v>17</v>
      </c>
      <c r="D453" s="9">
        <v>1010.78</v>
      </c>
      <c r="E453" s="9" t="s">
        <v>7</v>
      </c>
      <c r="F453" s="12">
        <f>YEAR(Personal_Finance_Dataset[[#This Row],[Date]])</f>
        <v>2021</v>
      </c>
      <c r="G453">
        <f t="shared" si="7"/>
        <v>2021</v>
      </c>
    </row>
    <row r="454" spans="1:7" x14ac:dyDescent="0.25">
      <c r="A454" s="8">
        <v>44284</v>
      </c>
      <c r="B454" s="9" t="s">
        <v>469</v>
      </c>
      <c r="C454" s="9" t="s">
        <v>9</v>
      </c>
      <c r="D454" s="9">
        <v>1635.61</v>
      </c>
      <c r="E454" s="9" t="s">
        <v>7</v>
      </c>
      <c r="F454" s="12">
        <f>YEAR(Personal_Finance_Dataset[[#This Row],[Date]])</f>
        <v>2021</v>
      </c>
      <c r="G454">
        <f t="shared" si="7"/>
        <v>2021</v>
      </c>
    </row>
    <row r="455" spans="1:7" x14ac:dyDescent="0.25">
      <c r="A455" s="8">
        <v>44285</v>
      </c>
      <c r="B455" s="9" t="s">
        <v>470</v>
      </c>
      <c r="C455" s="9" t="s">
        <v>9</v>
      </c>
      <c r="D455" s="9">
        <v>1747.27</v>
      </c>
      <c r="E455" s="9" t="s">
        <v>7</v>
      </c>
      <c r="F455" s="12">
        <f>YEAR(Personal_Finance_Dataset[[#This Row],[Date]])</f>
        <v>2021</v>
      </c>
      <c r="G455">
        <f t="shared" si="7"/>
        <v>2021</v>
      </c>
    </row>
    <row r="456" spans="1:7" x14ac:dyDescent="0.25">
      <c r="A456" s="8">
        <v>44286</v>
      </c>
      <c r="B456" s="9" t="s">
        <v>471</v>
      </c>
      <c r="C456" s="9" t="s">
        <v>20</v>
      </c>
      <c r="D456" s="9">
        <v>3540</v>
      </c>
      <c r="E456" s="9" t="s">
        <v>14</v>
      </c>
      <c r="F456" s="12">
        <f>YEAR(Personal_Finance_Dataset[[#This Row],[Date]])</f>
        <v>2021</v>
      </c>
      <c r="G456">
        <f t="shared" si="7"/>
        <v>2021</v>
      </c>
    </row>
    <row r="457" spans="1:7" x14ac:dyDescent="0.25">
      <c r="A457" s="8">
        <v>44287</v>
      </c>
      <c r="B457" s="9" t="s">
        <v>472</v>
      </c>
      <c r="C457" s="9" t="s">
        <v>11</v>
      </c>
      <c r="D457" s="9">
        <v>1425.69</v>
      </c>
      <c r="E457" s="9" t="s">
        <v>7</v>
      </c>
      <c r="F457" s="12">
        <f>YEAR(Personal_Finance_Dataset[[#This Row],[Date]])</f>
        <v>2021</v>
      </c>
      <c r="G457">
        <f t="shared" si="7"/>
        <v>2021</v>
      </c>
    </row>
    <row r="458" spans="1:7" x14ac:dyDescent="0.25">
      <c r="A458" s="8">
        <v>44288</v>
      </c>
      <c r="B458" s="9" t="s">
        <v>473</v>
      </c>
      <c r="C458" s="9" t="s">
        <v>11</v>
      </c>
      <c r="D458" s="9">
        <v>577.28</v>
      </c>
      <c r="E458" s="9" t="s">
        <v>7</v>
      </c>
      <c r="F458" s="12">
        <f>YEAR(Personal_Finance_Dataset[[#This Row],[Date]])</f>
        <v>2021</v>
      </c>
      <c r="G458">
        <f t="shared" si="7"/>
        <v>2021</v>
      </c>
    </row>
    <row r="459" spans="1:7" x14ac:dyDescent="0.25">
      <c r="A459" s="8">
        <v>44289</v>
      </c>
      <c r="B459" s="9" t="s">
        <v>474</v>
      </c>
      <c r="C459" s="9" t="s">
        <v>35</v>
      </c>
      <c r="D459" s="9">
        <v>904.15</v>
      </c>
      <c r="E459" s="9" t="s">
        <v>7</v>
      </c>
      <c r="F459" s="12">
        <f>YEAR(Personal_Finance_Dataset[[#This Row],[Date]])</f>
        <v>2021</v>
      </c>
      <c r="G459">
        <f t="shared" si="7"/>
        <v>2021</v>
      </c>
    </row>
    <row r="460" spans="1:7" x14ac:dyDescent="0.25">
      <c r="A460" s="8">
        <v>44290</v>
      </c>
      <c r="B460" s="9" t="s">
        <v>475</v>
      </c>
      <c r="C460" s="9" t="s">
        <v>17</v>
      </c>
      <c r="D460" s="9">
        <v>192.51</v>
      </c>
      <c r="E460" s="9" t="s">
        <v>7</v>
      </c>
      <c r="F460" s="12">
        <f>YEAR(Personal_Finance_Dataset[[#This Row],[Date]])</f>
        <v>2021</v>
      </c>
      <c r="G460">
        <f t="shared" si="7"/>
        <v>2021</v>
      </c>
    </row>
    <row r="461" spans="1:7" x14ac:dyDescent="0.25">
      <c r="A461" s="8">
        <v>44291</v>
      </c>
      <c r="B461" s="9" t="s">
        <v>476</v>
      </c>
      <c r="C461" s="9" t="s">
        <v>27</v>
      </c>
      <c r="D461" s="9">
        <v>1770.41</v>
      </c>
      <c r="E461" s="9" t="s">
        <v>7</v>
      </c>
      <c r="F461" s="12">
        <f>YEAR(Personal_Finance_Dataset[[#This Row],[Date]])</f>
        <v>2021</v>
      </c>
      <c r="G461">
        <f t="shared" si="7"/>
        <v>2021</v>
      </c>
    </row>
    <row r="462" spans="1:7" x14ac:dyDescent="0.25">
      <c r="A462" s="8">
        <v>44292</v>
      </c>
      <c r="B462" s="9" t="s">
        <v>477</v>
      </c>
      <c r="C462" s="9" t="s">
        <v>17</v>
      </c>
      <c r="D462" s="9">
        <v>115.98</v>
      </c>
      <c r="E462" s="9" t="s">
        <v>7</v>
      </c>
      <c r="F462" s="12">
        <f>YEAR(Personal_Finance_Dataset[[#This Row],[Date]])</f>
        <v>2021</v>
      </c>
      <c r="G462">
        <f t="shared" si="7"/>
        <v>2021</v>
      </c>
    </row>
    <row r="463" spans="1:7" x14ac:dyDescent="0.25">
      <c r="A463" s="8">
        <v>44293</v>
      </c>
      <c r="B463" s="9" t="s">
        <v>478</v>
      </c>
      <c r="C463" s="9" t="s">
        <v>22</v>
      </c>
      <c r="D463" s="9">
        <v>778.47</v>
      </c>
      <c r="E463" s="9" t="s">
        <v>7</v>
      </c>
      <c r="F463" s="12">
        <f>YEAR(Personal_Finance_Dataset[[#This Row],[Date]])</f>
        <v>2021</v>
      </c>
      <c r="G463">
        <f t="shared" si="7"/>
        <v>2021</v>
      </c>
    </row>
    <row r="464" spans="1:7" x14ac:dyDescent="0.25">
      <c r="A464" s="8">
        <v>44294</v>
      </c>
      <c r="B464" s="9" t="s">
        <v>479</v>
      </c>
      <c r="C464" s="9" t="s">
        <v>13</v>
      </c>
      <c r="D464" s="9">
        <v>730</v>
      </c>
      <c r="E464" s="9" t="s">
        <v>14</v>
      </c>
      <c r="F464" s="12">
        <f>YEAR(Personal_Finance_Dataset[[#This Row],[Date]])</f>
        <v>2021</v>
      </c>
      <c r="G464">
        <f t="shared" si="7"/>
        <v>2021</v>
      </c>
    </row>
    <row r="465" spans="1:7" x14ac:dyDescent="0.25">
      <c r="A465" s="8">
        <v>44295</v>
      </c>
      <c r="B465" s="9" t="s">
        <v>480</v>
      </c>
      <c r="C465" s="9" t="s">
        <v>11</v>
      </c>
      <c r="D465" s="9">
        <v>1679.96</v>
      </c>
      <c r="E465" s="9" t="s">
        <v>7</v>
      </c>
      <c r="F465" s="12">
        <f>YEAR(Personal_Finance_Dataset[[#This Row],[Date]])</f>
        <v>2021</v>
      </c>
      <c r="G465">
        <f t="shared" si="7"/>
        <v>2021</v>
      </c>
    </row>
    <row r="466" spans="1:7" x14ac:dyDescent="0.25">
      <c r="A466" s="8">
        <v>44296</v>
      </c>
      <c r="B466" s="9" t="s">
        <v>481</v>
      </c>
      <c r="C466" s="9" t="s">
        <v>9</v>
      </c>
      <c r="D466" s="9">
        <v>283.82</v>
      </c>
      <c r="E466" s="9" t="s">
        <v>7</v>
      </c>
      <c r="F466" s="12">
        <f>YEAR(Personal_Finance_Dataset[[#This Row],[Date]])</f>
        <v>2021</v>
      </c>
      <c r="G466">
        <f t="shared" si="7"/>
        <v>2021</v>
      </c>
    </row>
    <row r="467" spans="1:7" x14ac:dyDescent="0.25">
      <c r="A467" s="8">
        <v>44297</v>
      </c>
      <c r="B467" s="9" t="s">
        <v>482</v>
      </c>
      <c r="C467" s="9" t="s">
        <v>27</v>
      </c>
      <c r="D467" s="9">
        <v>1395.18</v>
      </c>
      <c r="E467" s="9" t="s">
        <v>7</v>
      </c>
      <c r="F467" s="12">
        <f>YEAR(Personal_Finance_Dataset[[#This Row],[Date]])</f>
        <v>2021</v>
      </c>
      <c r="G467">
        <f t="shared" si="7"/>
        <v>2021</v>
      </c>
    </row>
    <row r="468" spans="1:7" x14ac:dyDescent="0.25">
      <c r="A468" s="8">
        <v>44298</v>
      </c>
      <c r="B468" s="9" t="s">
        <v>483</v>
      </c>
      <c r="C468" s="9" t="s">
        <v>20</v>
      </c>
      <c r="D468" s="9">
        <v>4174</v>
      </c>
      <c r="E468" s="9" t="s">
        <v>14</v>
      </c>
      <c r="F468" s="12">
        <f>YEAR(Personal_Finance_Dataset[[#This Row],[Date]])</f>
        <v>2021</v>
      </c>
      <c r="G468">
        <f t="shared" si="7"/>
        <v>2021</v>
      </c>
    </row>
    <row r="469" spans="1:7" x14ac:dyDescent="0.25">
      <c r="A469" s="8">
        <v>44299</v>
      </c>
      <c r="B469" s="9" t="s">
        <v>484</v>
      </c>
      <c r="C469" s="9" t="s">
        <v>11</v>
      </c>
      <c r="D469" s="9">
        <v>47.82</v>
      </c>
      <c r="E469" s="9" t="s">
        <v>7</v>
      </c>
      <c r="F469" s="12">
        <f>YEAR(Personal_Finance_Dataset[[#This Row],[Date]])</f>
        <v>2021</v>
      </c>
      <c r="G469">
        <f t="shared" si="7"/>
        <v>2021</v>
      </c>
    </row>
    <row r="470" spans="1:7" x14ac:dyDescent="0.25">
      <c r="A470" s="8">
        <v>44300</v>
      </c>
      <c r="B470" s="9" t="s">
        <v>485</v>
      </c>
      <c r="C470" s="9" t="s">
        <v>9</v>
      </c>
      <c r="D470" s="9">
        <v>1102.1199999999999</v>
      </c>
      <c r="E470" s="9" t="s">
        <v>7</v>
      </c>
      <c r="F470" s="12">
        <f>YEAR(Personal_Finance_Dataset[[#This Row],[Date]])</f>
        <v>2021</v>
      </c>
      <c r="G470">
        <f t="shared" si="7"/>
        <v>2021</v>
      </c>
    </row>
    <row r="471" spans="1:7" x14ac:dyDescent="0.25">
      <c r="A471" s="8">
        <v>44301</v>
      </c>
      <c r="B471" s="9" t="s">
        <v>486</v>
      </c>
      <c r="C471" s="9" t="s">
        <v>17</v>
      </c>
      <c r="D471" s="9">
        <v>231.26</v>
      </c>
      <c r="E471" s="9" t="s">
        <v>7</v>
      </c>
      <c r="F471" s="12">
        <f>YEAR(Personal_Finance_Dataset[[#This Row],[Date]])</f>
        <v>2021</v>
      </c>
      <c r="G471">
        <f t="shared" si="7"/>
        <v>2021</v>
      </c>
    </row>
    <row r="472" spans="1:7" x14ac:dyDescent="0.25">
      <c r="A472" s="8">
        <v>44302</v>
      </c>
      <c r="B472" s="9" t="s">
        <v>487</v>
      </c>
      <c r="C472" s="9" t="s">
        <v>35</v>
      </c>
      <c r="D472" s="9">
        <v>252.48</v>
      </c>
      <c r="E472" s="9" t="s">
        <v>7</v>
      </c>
      <c r="F472" s="12">
        <f>YEAR(Personal_Finance_Dataset[[#This Row],[Date]])</f>
        <v>2021</v>
      </c>
      <c r="G472">
        <f t="shared" si="7"/>
        <v>2021</v>
      </c>
    </row>
    <row r="473" spans="1:7" x14ac:dyDescent="0.25">
      <c r="A473" s="8">
        <v>44303</v>
      </c>
      <c r="B473" s="9" t="s">
        <v>488</v>
      </c>
      <c r="C473" s="9" t="s">
        <v>27</v>
      </c>
      <c r="D473" s="9">
        <v>134.99</v>
      </c>
      <c r="E473" s="9" t="s">
        <v>7</v>
      </c>
      <c r="F473" s="12">
        <f>YEAR(Personal_Finance_Dataset[[#This Row],[Date]])</f>
        <v>2021</v>
      </c>
      <c r="G473">
        <f t="shared" si="7"/>
        <v>2021</v>
      </c>
    </row>
    <row r="474" spans="1:7" x14ac:dyDescent="0.25">
      <c r="A474" s="8">
        <v>44304</v>
      </c>
      <c r="B474" s="9" t="s">
        <v>489</v>
      </c>
      <c r="C474" s="9" t="s">
        <v>27</v>
      </c>
      <c r="D474" s="9">
        <v>1197.51</v>
      </c>
      <c r="E474" s="9" t="s">
        <v>7</v>
      </c>
      <c r="F474" s="12">
        <f>YEAR(Personal_Finance_Dataset[[#This Row],[Date]])</f>
        <v>2021</v>
      </c>
      <c r="G474">
        <f t="shared" si="7"/>
        <v>2021</v>
      </c>
    </row>
    <row r="475" spans="1:7" x14ac:dyDescent="0.25">
      <c r="A475" s="8">
        <v>44305</v>
      </c>
      <c r="B475" s="9" t="s">
        <v>490</v>
      </c>
      <c r="C475" s="9" t="s">
        <v>13</v>
      </c>
      <c r="D475" s="9">
        <v>1676</v>
      </c>
      <c r="E475" s="9" t="s">
        <v>14</v>
      </c>
      <c r="F475" s="12">
        <f>YEAR(Personal_Finance_Dataset[[#This Row],[Date]])</f>
        <v>2021</v>
      </c>
      <c r="G475">
        <f t="shared" si="7"/>
        <v>2021</v>
      </c>
    </row>
    <row r="476" spans="1:7" x14ac:dyDescent="0.25">
      <c r="A476" s="8">
        <v>44306</v>
      </c>
      <c r="B476" s="9" t="s">
        <v>491</v>
      </c>
      <c r="C476" s="9" t="s">
        <v>6</v>
      </c>
      <c r="D476" s="9">
        <v>1233.47</v>
      </c>
      <c r="E476" s="9" t="s">
        <v>7</v>
      </c>
      <c r="F476" s="12">
        <f>YEAR(Personal_Finance_Dataset[[#This Row],[Date]])</f>
        <v>2021</v>
      </c>
      <c r="G476">
        <f t="shared" si="7"/>
        <v>2021</v>
      </c>
    </row>
    <row r="477" spans="1:7" x14ac:dyDescent="0.25">
      <c r="A477" s="8">
        <v>44307</v>
      </c>
      <c r="B477" s="9" t="s">
        <v>492</v>
      </c>
      <c r="C477" s="9" t="s">
        <v>17</v>
      </c>
      <c r="D477" s="9">
        <v>382.75</v>
      </c>
      <c r="E477" s="9" t="s">
        <v>7</v>
      </c>
      <c r="F477" s="12">
        <f>YEAR(Personal_Finance_Dataset[[#This Row],[Date]])</f>
        <v>2021</v>
      </c>
      <c r="G477">
        <f t="shared" si="7"/>
        <v>2021</v>
      </c>
    </row>
    <row r="478" spans="1:7" x14ac:dyDescent="0.25">
      <c r="A478" s="8">
        <v>44308</v>
      </c>
      <c r="B478" s="9" t="s">
        <v>493</v>
      </c>
      <c r="C478" s="9" t="s">
        <v>25</v>
      </c>
      <c r="D478" s="9">
        <v>144.68</v>
      </c>
      <c r="E478" s="9" t="s">
        <v>7</v>
      </c>
      <c r="F478" s="12">
        <f>YEAR(Personal_Finance_Dataset[[#This Row],[Date]])</f>
        <v>2021</v>
      </c>
      <c r="G478">
        <f t="shared" si="7"/>
        <v>2021</v>
      </c>
    </row>
    <row r="479" spans="1:7" x14ac:dyDescent="0.25">
      <c r="A479" s="8">
        <v>44309</v>
      </c>
      <c r="B479" s="9" t="s">
        <v>494</v>
      </c>
      <c r="C479" s="9" t="s">
        <v>6</v>
      </c>
      <c r="D479" s="9">
        <v>787</v>
      </c>
      <c r="E479" s="9" t="s">
        <v>7</v>
      </c>
      <c r="F479" s="12">
        <f>YEAR(Personal_Finance_Dataset[[#This Row],[Date]])</f>
        <v>2021</v>
      </c>
      <c r="G479">
        <f t="shared" si="7"/>
        <v>2021</v>
      </c>
    </row>
    <row r="480" spans="1:7" x14ac:dyDescent="0.25">
      <c r="A480" s="8">
        <v>44310</v>
      </c>
      <c r="B480" s="9" t="s">
        <v>495</v>
      </c>
      <c r="C480" s="9" t="s">
        <v>17</v>
      </c>
      <c r="D480" s="9">
        <v>1962.27</v>
      </c>
      <c r="E480" s="9" t="s">
        <v>7</v>
      </c>
      <c r="F480" s="12">
        <f>YEAR(Personal_Finance_Dataset[[#This Row],[Date]])</f>
        <v>2021</v>
      </c>
      <c r="G480">
        <f t="shared" si="7"/>
        <v>2021</v>
      </c>
    </row>
    <row r="481" spans="1:7" x14ac:dyDescent="0.25">
      <c r="A481" s="8">
        <v>44311</v>
      </c>
      <c r="B481" s="9" t="s">
        <v>496</v>
      </c>
      <c r="C481" s="9" t="s">
        <v>6</v>
      </c>
      <c r="D481" s="9">
        <v>720.62</v>
      </c>
      <c r="E481" s="9" t="s">
        <v>7</v>
      </c>
      <c r="F481" s="12">
        <f>YEAR(Personal_Finance_Dataset[[#This Row],[Date]])</f>
        <v>2021</v>
      </c>
      <c r="G481">
        <f t="shared" si="7"/>
        <v>2021</v>
      </c>
    </row>
    <row r="482" spans="1:7" x14ac:dyDescent="0.25">
      <c r="A482" s="8">
        <v>44312</v>
      </c>
      <c r="B482" s="9" t="s">
        <v>497</v>
      </c>
      <c r="C482" s="9" t="s">
        <v>13</v>
      </c>
      <c r="D482" s="9">
        <v>1349</v>
      </c>
      <c r="E482" s="9" t="s">
        <v>14</v>
      </c>
      <c r="F482" s="12">
        <f>YEAR(Personal_Finance_Dataset[[#This Row],[Date]])</f>
        <v>2021</v>
      </c>
      <c r="G482">
        <f t="shared" si="7"/>
        <v>2021</v>
      </c>
    </row>
    <row r="483" spans="1:7" x14ac:dyDescent="0.25">
      <c r="A483" s="8">
        <v>44313</v>
      </c>
      <c r="B483" s="9" t="s">
        <v>498</v>
      </c>
      <c r="C483" s="9" t="s">
        <v>25</v>
      </c>
      <c r="D483" s="9">
        <v>275.49</v>
      </c>
      <c r="E483" s="9" t="s">
        <v>7</v>
      </c>
      <c r="F483" s="12">
        <f>YEAR(Personal_Finance_Dataset[[#This Row],[Date]])</f>
        <v>2021</v>
      </c>
      <c r="G483">
        <f t="shared" si="7"/>
        <v>2021</v>
      </c>
    </row>
    <row r="484" spans="1:7" x14ac:dyDescent="0.25">
      <c r="A484" s="8">
        <v>44314</v>
      </c>
      <c r="B484" s="9" t="s">
        <v>499</v>
      </c>
      <c r="C484" s="9" t="s">
        <v>25</v>
      </c>
      <c r="D484" s="9">
        <v>1628.88</v>
      </c>
      <c r="E484" s="9" t="s">
        <v>7</v>
      </c>
      <c r="F484" s="12">
        <f>YEAR(Personal_Finance_Dataset[[#This Row],[Date]])</f>
        <v>2021</v>
      </c>
      <c r="G484">
        <f t="shared" si="7"/>
        <v>2021</v>
      </c>
    </row>
    <row r="485" spans="1:7" x14ac:dyDescent="0.25">
      <c r="A485" s="8">
        <v>44315</v>
      </c>
      <c r="B485" s="9" t="s">
        <v>500</v>
      </c>
      <c r="C485" s="9" t="s">
        <v>20</v>
      </c>
      <c r="D485" s="9">
        <v>4420</v>
      </c>
      <c r="E485" s="9" t="s">
        <v>14</v>
      </c>
      <c r="F485" s="12">
        <f>YEAR(Personal_Finance_Dataset[[#This Row],[Date]])</f>
        <v>2021</v>
      </c>
      <c r="G485">
        <f t="shared" si="7"/>
        <v>2021</v>
      </c>
    </row>
    <row r="486" spans="1:7" x14ac:dyDescent="0.25">
      <c r="A486" s="8">
        <v>44316</v>
      </c>
      <c r="B486" s="9" t="s">
        <v>501</v>
      </c>
      <c r="C486" s="9" t="s">
        <v>9</v>
      </c>
      <c r="D486" s="9">
        <v>135.57</v>
      </c>
      <c r="E486" s="9" t="s">
        <v>7</v>
      </c>
      <c r="F486" s="12">
        <f>YEAR(Personal_Finance_Dataset[[#This Row],[Date]])</f>
        <v>2021</v>
      </c>
      <c r="G486">
        <f t="shared" si="7"/>
        <v>2021</v>
      </c>
    </row>
    <row r="487" spans="1:7" x14ac:dyDescent="0.25">
      <c r="A487" s="8">
        <v>44317</v>
      </c>
      <c r="B487" s="9" t="s">
        <v>502</v>
      </c>
      <c r="C487" s="9" t="s">
        <v>27</v>
      </c>
      <c r="D487" s="9">
        <v>83.6</v>
      </c>
      <c r="E487" s="9" t="s">
        <v>7</v>
      </c>
      <c r="F487" s="12">
        <f>YEAR(Personal_Finance_Dataset[[#This Row],[Date]])</f>
        <v>2021</v>
      </c>
      <c r="G487">
        <f t="shared" si="7"/>
        <v>2021</v>
      </c>
    </row>
    <row r="488" spans="1:7" x14ac:dyDescent="0.25">
      <c r="A488" s="8">
        <v>44318</v>
      </c>
      <c r="B488" s="9" t="s">
        <v>503</v>
      </c>
      <c r="C488" s="9" t="s">
        <v>22</v>
      </c>
      <c r="D488" s="9">
        <v>1772.72</v>
      </c>
      <c r="E488" s="9" t="s">
        <v>7</v>
      </c>
      <c r="F488" s="12">
        <f>YEAR(Personal_Finance_Dataset[[#This Row],[Date]])</f>
        <v>2021</v>
      </c>
      <c r="G488">
        <f t="shared" si="7"/>
        <v>2021</v>
      </c>
    </row>
    <row r="489" spans="1:7" x14ac:dyDescent="0.25">
      <c r="A489" s="8">
        <v>44319</v>
      </c>
      <c r="B489" s="9" t="s">
        <v>504</v>
      </c>
      <c r="C489" s="9" t="s">
        <v>35</v>
      </c>
      <c r="D489" s="9">
        <v>1035.6099999999999</v>
      </c>
      <c r="E489" s="9" t="s">
        <v>7</v>
      </c>
      <c r="F489" s="12">
        <f>YEAR(Personal_Finance_Dataset[[#This Row],[Date]])</f>
        <v>2021</v>
      </c>
      <c r="G489">
        <f t="shared" si="7"/>
        <v>2021</v>
      </c>
    </row>
    <row r="490" spans="1:7" x14ac:dyDescent="0.25">
      <c r="A490" s="8">
        <v>44320</v>
      </c>
      <c r="B490" s="9" t="s">
        <v>505</v>
      </c>
      <c r="C490" s="9" t="s">
        <v>27</v>
      </c>
      <c r="D490" s="9">
        <v>514.09</v>
      </c>
      <c r="E490" s="9" t="s">
        <v>7</v>
      </c>
      <c r="F490" s="12">
        <f>YEAR(Personal_Finance_Dataset[[#This Row],[Date]])</f>
        <v>2021</v>
      </c>
      <c r="G490">
        <f t="shared" si="7"/>
        <v>2021</v>
      </c>
    </row>
    <row r="491" spans="1:7" x14ac:dyDescent="0.25">
      <c r="A491" s="8">
        <v>44321</v>
      </c>
      <c r="B491" s="9" t="s">
        <v>506</v>
      </c>
      <c r="C491" s="9" t="s">
        <v>22</v>
      </c>
      <c r="D491" s="9">
        <v>579.36</v>
      </c>
      <c r="E491" s="9" t="s">
        <v>7</v>
      </c>
      <c r="F491" s="12">
        <f>YEAR(Personal_Finance_Dataset[[#This Row],[Date]])</f>
        <v>2021</v>
      </c>
      <c r="G491">
        <f t="shared" si="7"/>
        <v>2021</v>
      </c>
    </row>
    <row r="492" spans="1:7" x14ac:dyDescent="0.25">
      <c r="A492" s="8">
        <v>44322</v>
      </c>
      <c r="B492" s="9" t="s">
        <v>507</v>
      </c>
      <c r="C492" s="9" t="s">
        <v>6</v>
      </c>
      <c r="D492" s="9">
        <v>1732.94</v>
      </c>
      <c r="E492" s="9" t="s">
        <v>7</v>
      </c>
      <c r="F492" s="12">
        <f>YEAR(Personal_Finance_Dataset[[#This Row],[Date]])</f>
        <v>2021</v>
      </c>
      <c r="G492">
        <f t="shared" si="7"/>
        <v>2021</v>
      </c>
    </row>
    <row r="493" spans="1:7" x14ac:dyDescent="0.25">
      <c r="A493" s="8">
        <v>44323</v>
      </c>
      <c r="B493" s="9" t="s">
        <v>508</v>
      </c>
      <c r="C493" s="9" t="s">
        <v>11</v>
      </c>
      <c r="D493" s="9">
        <v>1600.69</v>
      </c>
      <c r="E493" s="9" t="s">
        <v>7</v>
      </c>
      <c r="F493" s="12">
        <f>YEAR(Personal_Finance_Dataset[[#This Row],[Date]])</f>
        <v>2021</v>
      </c>
      <c r="G493">
        <f t="shared" si="7"/>
        <v>2021</v>
      </c>
    </row>
    <row r="494" spans="1:7" x14ac:dyDescent="0.25">
      <c r="A494" s="8">
        <v>44324</v>
      </c>
      <c r="B494" s="9" t="s">
        <v>509</v>
      </c>
      <c r="C494" s="9" t="s">
        <v>17</v>
      </c>
      <c r="D494" s="9">
        <v>1489.18</v>
      </c>
      <c r="E494" s="9" t="s">
        <v>7</v>
      </c>
      <c r="F494" s="12">
        <f>YEAR(Personal_Finance_Dataset[[#This Row],[Date]])</f>
        <v>2021</v>
      </c>
      <c r="G494">
        <f t="shared" si="7"/>
        <v>2021</v>
      </c>
    </row>
    <row r="495" spans="1:7" x14ac:dyDescent="0.25">
      <c r="A495" s="8">
        <v>44325</v>
      </c>
      <c r="B495" s="9" t="s">
        <v>510</v>
      </c>
      <c r="C495" s="9" t="s">
        <v>17</v>
      </c>
      <c r="D495" s="9">
        <v>684.68</v>
      </c>
      <c r="E495" s="9" t="s">
        <v>7</v>
      </c>
      <c r="F495" s="12">
        <f>YEAR(Personal_Finance_Dataset[[#This Row],[Date]])</f>
        <v>2021</v>
      </c>
      <c r="G495">
        <f t="shared" si="7"/>
        <v>2021</v>
      </c>
    </row>
    <row r="496" spans="1:7" x14ac:dyDescent="0.25">
      <c r="A496" s="8">
        <v>44326</v>
      </c>
      <c r="B496" s="9" t="s">
        <v>511</v>
      </c>
      <c r="C496" s="9" t="s">
        <v>20</v>
      </c>
      <c r="D496" s="9">
        <v>3509</v>
      </c>
      <c r="E496" s="9" t="s">
        <v>14</v>
      </c>
      <c r="F496" s="12">
        <f>YEAR(Personal_Finance_Dataset[[#This Row],[Date]])</f>
        <v>2021</v>
      </c>
      <c r="G496">
        <f t="shared" si="7"/>
        <v>2021</v>
      </c>
    </row>
    <row r="497" spans="1:7" x14ac:dyDescent="0.25">
      <c r="A497" s="8">
        <v>44327</v>
      </c>
      <c r="B497" s="9" t="s">
        <v>512</v>
      </c>
      <c r="C497" s="9" t="s">
        <v>35</v>
      </c>
      <c r="D497" s="9">
        <v>1604.28</v>
      </c>
      <c r="E497" s="9" t="s">
        <v>7</v>
      </c>
      <c r="F497" s="12">
        <f>YEAR(Personal_Finance_Dataset[[#This Row],[Date]])</f>
        <v>2021</v>
      </c>
      <c r="G497">
        <f t="shared" si="7"/>
        <v>2021</v>
      </c>
    </row>
    <row r="498" spans="1:7" x14ac:dyDescent="0.25">
      <c r="A498" s="8">
        <v>44328</v>
      </c>
      <c r="B498" s="9" t="s">
        <v>513</v>
      </c>
      <c r="C498" s="9" t="s">
        <v>11</v>
      </c>
      <c r="D498" s="9">
        <v>866.91</v>
      </c>
      <c r="E498" s="9" t="s">
        <v>7</v>
      </c>
      <c r="F498" s="12">
        <f>YEAR(Personal_Finance_Dataset[[#This Row],[Date]])</f>
        <v>2021</v>
      </c>
      <c r="G498">
        <f t="shared" si="7"/>
        <v>2021</v>
      </c>
    </row>
    <row r="499" spans="1:7" x14ac:dyDescent="0.25">
      <c r="A499" s="8">
        <v>44329</v>
      </c>
      <c r="B499" s="9" t="s">
        <v>514</v>
      </c>
      <c r="C499" s="9" t="s">
        <v>9</v>
      </c>
      <c r="D499" s="9">
        <v>1095.49</v>
      </c>
      <c r="E499" s="9" t="s">
        <v>7</v>
      </c>
      <c r="F499" s="12">
        <f>YEAR(Personal_Finance_Dataset[[#This Row],[Date]])</f>
        <v>2021</v>
      </c>
      <c r="G499">
        <f t="shared" si="7"/>
        <v>2021</v>
      </c>
    </row>
    <row r="500" spans="1:7" x14ac:dyDescent="0.25">
      <c r="A500" s="8">
        <v>44330</v>
      </c>
      <c r="B500" s="9" t="s">
        <v>515</v>
      </c>
      <c r="C500" s="9" t="s">
        <v>11</v>
      </c>
      <c r="D500" s="9">
        <v>662.56</v>
      </c>
      <c r="E500" s="9" t="s">
        <v>7</v>
      </c>
      <c r="F500" s="12">
        <f>YEAR(Personal_Finance_Dataset[[#This Row],[Date]])</f>
        <v>2021</v>
      </c>
      <c r="G500">
        <f t="shared" si="7"/>
        <v>2021</v>
      </c>
    </row>
    <row r="501" spans="1:7" x14ac:dyDescent="0.25">
      <c r="A501" s="8">
        <v>44331</v>
      </c>
      <c r="B501" s="9" t="s">
        <v>516</v>
      </c>
      <c r="C501" s="9" t="s">
        <v>27</v>
      </c>
      <c r="D501" s="9">
        <v>1209.22</v>
      </c>
      <c r="E501" s="9" t="s">
        <v>7</v>
      </c>
      <c r="F501" s="12">
        <f>YEAR(Personal_Finance_Dataset[[#This Row],[Date]])</f>
        <v>2021</v>
      </c>
      <c r="G501">
        <f t="shared" si="7"/>
        <v>2021</v>
      </c>
    </row>
    <row r="502" spans="1:7" x14ac:dyDescent="0.25">
      <c r="A502" s="8">
        <v>44332</v>
      </c>
      <c r="B502" s="9" t="s">
        <v>517</v>
      </c>
      <c r="C502" s="9" t="s">
        <v>27</v>
      </c>
      <c r="D502" s="9">
        <v>709.58</v>
      </c>
      <c r="E502" s="9" t="s">
        <v>7</v>
      </c>
      <c r="F502" s="12">
        <f>YEAR(Personal_Finance_Dataset[[#This Row],[Date]])</f>
        <v>2021</v>
      </c>
      <c r="G502">
        <f t="shared" si="7"/>
        <v>2021</v>
      </c>
    </row>
    <row r="503" spans="1:7" x14ac:dyDescent="0.25">
      <c r="A503" s="8">
        <v>44333</v>
      </c>
      <c r="B503" s="9" t="s">
        <v>518</v>
      </c>
      <c r="C503" s="9" t="s">
        <v>20</v>
      </c>
      <c r="D503" s="9">
        <v>4063</v>
      </c>
      <c r="E503" s="9" t="s">
        <v>14</v>
      </c>
      <c r="F503" s="12">
        <f>YEAR(Personal_Finance_Dataset[[#This Row],[Date]])</f>
        <v>2021</v>
      </c>
      <c r="G503">
        <f t="shared" si="7"/>
        <v>2021</v>
      </c>
    </row>
    <row r="504" spans="1:7" x14ac:dyDescent="0.25">
      <c r="A504" s="8">
        <v>44334</v>
      </c>
      <c r="B504" s="9" t="s">
        <v>519</v>
      </c>
      <c r="C504" s="9" t="s">
        <v>6</v>
      </c>
      <c r="D504" s="9">
        <v>159.33000000000001</v>
      </c>
      <c r="E504" s="9" t="s">
        <v>7</v>
      </c>
      <c r="F504" s="12">
        <f>YEAR(Personal_Finance_Dataset[[#This Row],[Date]])</f>
        <v>2021</v>
      </c>
      <c r="G504">
        <f t="shared" si="7"/>
        <v>2021</v>
      </c>
    </row>
    <row r="505" spans="1:7" x14ac:dyDescent="0.25">
      <c r="A505" s="8">
        <v>44335</v>
      </c>
      <c r="B505" s="9" t="s">
        <v>520</v>
      </c>
      <c r="C505" s="9" t="s">
        <v>25</v>
      </c>
      <c r="D505" s="9">
        <v>1031.04</v>
      </c>
      <c r="E505" s="9" t="s">
        <v>7</v>
      </c>
      <c r="F505" s="12">
        <f>YEAR(Personal_Finance_Dataset[[#This Row],[Date]])</f>
        <v>2021</v>
      </c>
      <c r="G505">
        <f t="shared" si="7"/>
        <v>2021</v>
      </c>
    </row>
    <row r="506" spans="1:7" x14ac:dyDescent="0.25">
      <c r="A506" s="8">
        <v>44336</v>
      </c>
      <c r="B506" s="9" t="s">
        <v>521</v>
      </c>
      <c r="C506" s="9" t="s">
        <v>9</v>
      </c>
      <c r="D506" s="9">
        <v>1906.05</v>
      </c>
      <c r="E506" s="9" t="s">
        <v>7</v>
      </c>
      <c r="F506" s="12">
        <f>YEAR(Personal_Finance_Dataset[[#This Row],[Date]])</f>
        <v>2021</v>
      </c>
      <c r="G506">
        <f t="shared" si="7"/>
        <v>2021</v>
      </c>
    </row>
    <row r="507" spans="1:7" x14ac:dyDescent="0.25">
      <c r="A507" s="8">
        <v>44337</v>
      </c>
      <c r="B507" s="9" t="s">
        <v>522</v>
      </c>
      <c r="C507" s="9" t="s">
        <v>20</v>
      </c>
      <c r="D507" s="9">
        <v>785</v>
      </c>
      <c r="E507" s="9" t="s">
        <v>14</v>
      </c>
      <c r="F507" s="12">
        <f>YEAR(Personal_Finance_Dataset[[#This Row],[Date]])</f>
        <v>2021</v>
      </c>
      <c r="G507">
        <f t="shared" si="7"/>
        <v>2021</v>
      </c>
    </row>
    <row r="508" spans="1:7" x14ac:dyDescent="0.25">
      <c r="A508" s="8">
        <v>44338</v>
      </c>
      <c r="B508" s="9" t="s">
        <v>523</v>
      </c>
      <c r="C508" s="9" t="s">
        <v>13</v>
      </c>
      <c r="D508" s="9">
        <v>3500</v>
      </c>
      <c r="E508" s="9" t="s">
        <v>14</v>
      </c>
      <c r="F508" s="12">
        <f>YEAR(Personal_Finance_Dataset[[#This Row],[Date]])</f>
        <v>2021</v>
      </c>
      <c r="G508">
        <f t="shared" si="7"/>
        <v>2021</v>
      </c>
    </row>
    <row r="509" spans="1:7" x14ac:dyDescent="0.25">
      <c r="A509" s="8">
        <v>44339</v>
      </c>
      <c r="B509" s="9" t="s">
        <v>524</v>
      </c>
      <c r="C509" s="9" t="s">
        <v>6</v>
      </c>
      <c r="D509" s="9">
        <v>1214.1400000000001</v>
      </c>
      <c r="E509" s="9" t="s">
        <v>7</v>
      </c>
      <c r="F509" s="12">
        <f>YEAR(Personal_Finance_Dataset[[#This Row],[Date]])</f>
        <v>2021</v>
      </c>
      <c r="G509">
        <f t="shared" si="7"/>
        <v>2021</v>
      </c>
    </row>
    <row r="510" spans="1:7" x14ac:dyDescent="0.25">
      <c r="A510" s="8">
        <v>44340</v>
      </c>
      <c r="B510" s="9" t="s">
        <v>525</v>
      </c>
      <c r="C510" s="9" t="s">
        <v>25</v>
      </c>
      <c r="D510" s="9">
        <v>750.31</v>
      </c>
      <c r="E510" s="9" t="s">
        <v>7</v>
      </c>
      <c r="F510" s="12">
        <f>YEAR(Personal_Finance_Dataset[[#This Row],[Date]])</f>
        <v>2021</v>
      </c>
      <c r="G510">
        <f t="shared" si="7"/>
        <v>2021</v>
      </c>
    </row>
    <row r="511" spans="1:7" x14ac:dyDescent="0.25">
      <c r="A511" s="8">
        <v>44341</v>
      </c>
      <c r="B511" s="9" t="s">
        <v>526</v>
      </c>
      <c r="C511" s="9" t="s">
        <v>9</v>
      </c>
      <c r="D511" s="9">
        <v>1063.6300000000001</v>
      </c>
      <c r="E511" s="9" t="s">
        <v>7</v>
      </c>
      <c r="F511" s="12">
        <f>YEAR(Personal_Finance_Dataset[[#This Row],[Date]])</f>
        <v>2021</v>
      </c>
      <c r="G511">
        <f t="shared" si="7"/>
        <v>2021</v>
      </c>
    </row>
    <row r="512" spans="1:7" x14ac:dyDescent="0.25">
      <c r="A512" s="8">
        <v>44342</v>
      </c>
      <c r="B512" s="9" t="s">
        <v>527</v>
      </c>
      <c r="C512" s="9" t="s">
        <v>35</v>
      </c>
      <c r="D512" s="9">
        <v>506.73</v>
      </c>
      <c r="E512" s="9" t="s">
        <v>7</v>
      </c>
      <c r="F512" s="12">
        <f>YEAR(Personal_Finance_Dataset[[#This Row],[Date]])</f>
        <v>2021</v>
      </c>
      <c r="G512">
        <f t="shared" si="7"/>
        <v>2021</v>
      </c>
    </row>
    <row r="513" spans="1:7" x14ac:dyDescent="0.25">
      <c r="A513" s="8">
        <v>44343</v>
      </c>
      <c r="B513" s="9" t="s">
        <v>528</v>
      </c>
      <c r="C513" s="9" t="s">
        <v>13</v>
      </c>
      <c r="D513" s="9">
        <v>4588</v>
      </c>
      <c r="E513" s="9" t="s">
        <v>14</v>
      </c>
      <c r="F513" s="12">
        <f>YEAR(Personal_Finance_Dataset[[#This Row],[Date]])</f>
        <v>2021</v>
      </c>
      <c r="G513">
        <f t="shared" si="7"/>
        <v>2021</v>
      </c>
    </row>
    <row r="514" spans="1:7" x14ac:dyDescent="0.25">
      <c r="A514" s="8">
        <v>44344</v>
      </c>
      <c r="B514" s="9" t="s">
        <v>529</v>
      </c>
      <c r="C514" s="9" t="s">
        <v>11</v>
      </c>
      <c r="D514" s="9">
        <v>530.94000000000005</v>
      </c>
      <c r="E514" s="9" t="s">
        <v>7</v>
      </c>
      <c r="F514" s="12">
        <f>YEAR(Personal_Finance_Dataset[[#This Row],[Date]])</f>
        <v>2021</v>
      </c>
      <c r="G514">
        <f t="shared" ref="G514:G577" si="8">YEAR(A514)</f>
        <v>2021</v>
      </c>
    </row>
    <row r="515" spans="1:7" x14ac:dyDescent="0.25">
      <c r="A515" s="8">
        <v>44345</v>
      </c>
      <c r="B515" s="9" t="s">
        <v>530</v>
      </c>
      <c r="C515" s="9" t="s">
        <v>27</v>
      </c>
      <c r="D515" s="9">
        <v>437</v>
      </c>
      <c r="E515" s="9" t="s">
        <v>7</v>
      </c>
      <c r="F515" s="12">
        <f>YEAR(Personal_Finance_Dataset[[#This Row],[Date]])</f>
        <v>2021</v>
      </c>
      <c r="G515">
        <f t="shared" si="8"/>
        <v>2021</v>
      </c>
    </row>
    <row r="516" spans="1:7" x14ac:dyDescent="0.25">
      <c r="A516" s="8">
        <v>44346</v>
      </c>
      <c r="B516" s="9" t="s">
        <v>531</v>
      </c>
      <c r="C516" s="9" t="s">
        <v>27</v>
      </c>
      <c r="D516" s="9">
        <v>408.35</v>
      </c>
      <c r="E516" s="9" t="s">
        <v>7</v>
      </c>
      <c r="F516" s="12">
        <f>YEAR(Personal_Finance_Dataset[[#This Row],[Date]])</f>
        <v>2021</v>
      </c>
      <c r="G516">
        <f t="shared" si="8"/>
        <v>2021</v>
      </c>
    </row>
    <row r="517" spans="1:7" x14ac:dyDescent="0.25">
      <c r="A517" s="8">
        <v>44347</v>
      </c>
      <c r="B517" s="9" t="s">
        <v>532</v>
      </c>
      <c r="C517" s="9" t="s">
        <v>13</v>
      </c>
      <c r="D517" s="9">
        <v>4203</v>
      </c>
      <c r="E517" s="9" t="s">
        <v>14</v>
      </c>
      <c r="F517" s="12">
        <f>YEAR(Personal_Finance_Dataset[[#This Row],[Date]])</f>
        <v>2021</v>
      </c>
      <c r="G517">
        <f t="shared" si="8"/>
        <v>2021</v>
      </c>
    </row>
    <row r="518" spans="1:7" x14ac:dyDescent="0.25">
      <c r="A518" s="8">
        <v>44348</v>
      </c>
      <c r="B518" s="9" t="s">
        <v>533</v>
      </c>
      <c r="C518" s="9" t="s">
        <v>20</v>
      </c>
      <c r="D518" s="9">
        <v>1219</v>
      </c>
      <c r="E518" s="9" t="s">
        <v>14</v>
      </c>
      <c r="F518" s="12">
        <f>YEAR(Personal_Finance_Dataset[[#This Row],[Date]])</f>
        <v>2021</v>
      </c>
      <c r="G518">
        <f t="shared" si="8"/>
        <v>2021</v>
      </c>
    </row>
    <row r="519" spans="1:7" x14ac:dyDescent="0.25">
      <c r="A519" s="8">
        <v>44349</v>
      </c>
      <c r="B519" s="9" t="s">
        <v>534</v>
      </c>
      <c r="C519" s="9" t="s">
        <v>25</v>
      </c>
      <c r="D519" s="9">
        <v>1339</v>
      </c>
      <c r="E519" s="9" t="s">
        <v>7</v>
      </c>
      <c r="F519" s="12">
        <f>YEAR(Personal_Finance_Dataset[[#This Row],[Date]])</f>
        <v>2021</v>
      </c>
      <c r="G519">
        <f t="shared" si="8"/>
        <v>2021</v>
      </c>
    </row>
    <row r="520" spans="1:7" x14ac:dyDescent="0.25">
      <c r="A520" s="8">
        <v>44350</v>
      </c>
      <c r="B520" s="9" t="s">
        <v>535</v>
      </c>
      <c r="C520" s="9" t="s">
        <v>35</v>
      </c>
      <c r="D520" s="9">
        <v>1783.75</v>
      </c>
      <c r="E520" s="9" t="s">
        <v>7</v>
      </c>
      <c r="F520" s="12">
        <f>YEAR(Personal_Finance_Dataset[[#This Row],[Date]])</f>
        <v>2021</v>
      </c>
      <c r="G520">
        <f t="shared" si="8"/>
        <v>2021</v>
      </c>
    </row>
    <row r="521" spans="1:7" x14ac:dyDescent="0.25">
      <c r="A521" s="8">
        <v>44351</v>
      </c>
      <c r="B521" s="9" t="s">
        <v>536</v>
      </c>
      <c r="C521" s="9" t="s">
        <v>9</v>
      </c>
      <c r="D521" s="9">
        <v>1589.46</v>
      </c>
      <c r="E521" s="9" t="s">
        <v>7</v>
      </c>
      <c r="F521" s="12">
        <f>YEAR(Personal_Finance_Dataset[[#This Row],[Date]])</f>
        <v>2021</v>
      </c>
      <c r="G521">
        <f t="shared" si="8"/>
        <v>2021</v>
      </c>
    </row>
    <row r="522" spans="1:7" x14ac:dyDescent="0.25">
      <c r="A522" s="8">
        <v>44352</v>
      </c>
      <c r="B522" s="9" t="s">
        <v>537</v>
      </c>
      <c r="C522" s="9" t="s">
        <v>11</v>
      </c>
      <c r="D522" s="9">
        <v>1970.41</v>
      </c>
      <c r="E522" s="9" t="s">
        <v>7</v>
      </c>
      <c r="F522" s="12">
        <f>YEAR(Personal_Finance_Dataset[[#This Row],[Date]])</f>
        <v>2021</v>
      </c>
      <c r="G522">
        <f t="shared" si="8"/>
        <v>2021</v>
      </c>
    </row>
    <row r="523" spans="1:7" x14ac:dyDescent="0.25">
      <c r="A523" s="8">
        <v>44353</v>
      </c>
      <c r="B523" s="9" t="s">
        <v>538</v>
      </c>
      <c r="C523" s="9" t="s">
        <v>22</v>
      </c>
      <c r="D523" s="9">
        <v>1582.84</v>
      </c>
      <c r="E523" s="9" t="s">
        <v>7</v>
      </c>
      <c r="F523" s="12">
        <f>YEAR(Personal_Finance_Dataset[[#This Row],[Date]])</f>
        <v>2021</v>
      </c>
      <c r="G523">
        <f t="shared" si="8"/>
        <v>2021</v>
      </c>
    </row>
    <row r="524" spans="1:7" x14ac:dyDescent="0.25">
      <c r="A524" s="8">
        <v>44354</v>
      </c>
      <c r="B524" s="9" t="s">
        <v>539</v>
      </c>
      <c r="C524" s="9" t="s">
        <v>20</v>
      </c>
      <c r="D524" s="9">
        <v>4328</v>
      </c>
      <c r="E524" s="9" t="s">
        <v>14</v>
      </c>
      <c r="F524" s="12">
        <f>YEAR(Personal_Finance_Dataset[[#This Row],[Date]])</f>
        <v>2021</v>
      </c>
      <c r="G524">
        <f t="shared" si="8"/>
        <v>2021</v>
      </c>
    </row>
    <row r="525" spans="1:7" x14ac:dyDescent="0.25">
      <c r="A525" s="8">
        <v>44355</v>
      </c>
      <c r="B525" s="9" t="s">
        <v>540</v>
      </c>
      <c r="C525" s="9" t="s">
        <v>9</v>
      </c>
      <c r="D525" s="9">
        <v>1227.78</v>
      </c>
      <c r="E525" s="9" t="s">
        <v>7</v>
      </c>
      <c r="F525" s="12">
        <f>YEAR(Personal_Finance_Dataset[[#This Row],[Date]])</f>
        <v>2021</v>
      </c>
      <c r="G525">
        <f t="shared" si="8"/>
        <v>2021</v>
      </c>
    </row>
    <row r="526" spans="1:7" x14ac:dyDescent="0.25">
      <c r="A526" s="8">
        <v>44356</v>
      </c>
      <c r="B526" s="9" t="s">
        <v>541</v>
      </c>
      <c r="C526" s="9" t="s">
        <v>20</v>
      </c>
      <c r="D526" s="9">
        <v>3761</v>
      </c>
      <c r="E526" s="9" t="s">
        <v>14</v>
      </c>
      <c r="F526" s="12">
        <f>YEAR(Personal_Finance_Dataset[[#This Row],[Date]])</f>
        <v>2021</v>
      </c>
      <c r="G526">
        <f t="shared" si="8"/>
        <v>2021</v>
      </c>
    </row>
    <row r="527" spans="1:7" x14ac:dyDescent="0.25">
      <c r="A527" s="8">
        <v>44357</v>
      </c>
      <c r="B527" s="9" t="s">
        <v>542</v>
      </c>
      <c r="C527" s="9" t="s">
        <v>27</v>
      </c>
      <c r="D527" s="9">
        <v>1056.1300000000001</v>
      </c>
      <c r="E527" s="9" t="s">
        <v>7</v>
      </c>
      <c r="F527" s="12">
        <f>YEAR(Personal_Finance_Dataset[[#This Row],[Date]])</f>
        <v>2021</v>
      </c>
      <c r="G527">
        <f t="shared" si="8"/>
        <v>2021</v>
      </c>
    </row>
    <row r="528" spans="1:7" x14ac:dyDescent="0.25">
      <c r="A528" s="8">
        <v>44358</v>
      </c>
      <c r="B528" s="9" t="s">
        <v>543</v>
      </c>
      <c r="C528" s="9" t="s">
        <v>11</v>
      </c>
      <c r="D528" s="9">
        <v>259.39999999999998</v>
      </c>
      <c r="E528" s="9" t="s">
        <v>7</v>
      </c>
      <c r="F528" s="12">
        <f>YEAR(Personal_Finance_Dataset[[#This Row],[Date]])</f>
        <v>2021</v>
      </c>
      <c r="G528">
        <f t="shared" si="8"/>
        <v>2021</v>
      </c>
    </row>
    <row r="529" spans="1:7" x14ac:dyDescent="0.25">
      <c r="A529" s="8">
        <v>44359</v>
      </c>
      <c r="B529" s="9" t="s">
        <v>544</v>
      </c>
      <c r="C529" s="9" t="s">
        <v>11</v>
      </c>
      <c r="D529" s="9">
        <v>905.45</v>
      </c>
      <c r="E529" s="9" t="s">
        <v>7</v>
      </c>
      <c r="F529" s="12">
        <f>YEAR(Personal_Finance_Dataset[[#This Row],[Date]])</f>
        <v>2021</v>
      </c>
      <c r="G529">
        <f t="shared" si="8"/>
        <v>2021</v>
      </c>
    </row>
    <row r="530" spans="1:7" x14ac:dyDescent="0.25">
      <c r="A530" s="8">
        <v>44360</v>
      </c>
      <c r="B530" s="9" t="s">
        <v>545</v>
      </c>
      <c r="C530" s="9" t="s">
        <v>25</v>
      </c>
      <c r="D530" s="9">
        <v>265.39</v>
      </c>
      <c r="E530" s="9" t="s">
        <v>7</v>
      </c>
      <c r="F530" s="12">
        <f>YEAR(Personal_Finance_Dataset[[#This Row],[Date]])</f>
        <v>2021</v>
      </c>
      <c r="G530">
        <f t="shared" si="8"/>
        <v>2021</v>
      </c>
    </row>
    <row r="531" spans="1:7" x14ac:dyDescent="0.25">
      <c r="A531" s="8">
        <v>44361</v>
      </c>
      <c r="B531" s="9" t="s">
        <v>546</v>
      </c>
      <c r="C531" s="9" t="s">
        <v>9</v>
      </c>
      <c r="D531" s="9">
        <v>1537.89</v>
      </c>
      <c r="E531" s="9" t="s">
        <v>7</v>
      </c>
      <c r="F531" s="12">
        <f>YEAR(Personal_Finance_Dataset[[#This Row],[Date]])</f>
        <v>2021</v>
      </c>
      <c r="G531">
        <f t="shared" si="8"/>
        <v>2021</v>
      </c>
    </row>
    <row r="532" spans="1:7" x14ac:dyDescent="0.25">
      <c r="A532" s="8">
        <v>44362</v>
      </c>
      <c r="B532" s="9" t="s">
        <v>547</v>
      </c>
      <c r="C532" s="9" t="s">
        <v>13</v>
      </c>
      <c r="D532" s="9">
        <v>1517</v>
      </c>
      <c r="E532" s="9" t="s">
        <v>14</v>
      </c>
      <c r="F532" s="12">
        <f>YEAR(Personal_Finance_Dataset[[#This Row],[Date]])</f>
        <v>2021</v>
      </c>
      <c r="G532">
        <f t="shared" si="8"/>
        <v>2021</v>
      </c>
    </row>
    <row r="533" spans="1:7" x14ac:dyDescent="0.25">
      <c r="A533" s="8">
        <v>44363</v>
      </c>
      <c r="B533" s="9" t="s">
        <v>548</v>
      </c>
      <c r="C533" s="9" t="s">
        <v>35</v>
      </c>
      <c r="D533" s="9">
        <v>337.67</v>
      </c>
      <c r="E533" s="9" t="s">
        <v>7</v>
      </c>
      <c r="F533" s="12">
        <f>YEAR(Personal_Finance_Dataset[[#This Row],[Date]])</f>
        <v>2021</v>
      </c>
      <c r="G533">
        <f t="shared" si="8"/>
        <v>2021</v>
      </c>
    </row>
    <row r="534" spans="1:7" x14ac:dyDescent="0.25">
      <c r="A534" s="8">
        <v>44364</v>
      </c>
      <c r="B534" s="9" t="s">
        <v>549</v>
      </c>
      <c r="C534" s="9" t="s">
        <v>22</v>
      </c>
      <c r="D534" s="9">
        <v>698.59</v>
      </c>
      <c r="E534" s="9" t="s">
        <v>7</v>
      </c>
      <c r="F534" s="12">
        <f>YEAR(Personal_Finance_Dataset[[#This Row],[Date]])</f>
        <v>2021</v>
      </c>
      <c r="G534">
        <f t="shared" si="8"/>
        <v>2021</v>
      </c>
    </row>
    <row r="535" spans="1:7" x14ac:dyDescent="0.25">
      <c r="A535" s="8">
        <v>44365</v>
      </c>
      <c r="B535" s="9" t="s">
        <v>550</v>
      </c>
      <c r="C535" s="9" t="s">
        <v>35</v>
      </c>
      <c r="D535" s="9">
        <v>1693.41</v>
      </c>
      <c r="E535" s="9" t="s">
        <v>7</v>
      </c>
      <c r="F535" s="12">
        <f>YEAR(Personal_Finance_Dataset[[#This Row],[Date]])</f>
        <v>2021</v>
      </c>
      <c r="G535">
        <f t="shared" si="8"/>
        <v>2021</v>
      </c>
    </row>
    <row r="536" spans="1:7" x14ac:dyDescent="0.25">
      <c r="A536" s="8">
        <v>44366</v>
      </c>
      <c r="B536" s="9" t="s">
        <v>551</v>
      </c>
      <c r="C536" s="9" t="s">
        <v>35</v>
      </c>
      <c r="D536" s="9">
        <v>259.08999999999997</v>
      </c>
      <c r="E536" s="9" t="s">
        <v>7</v>
      </c>
      <c r="F536" s="12">
        <f>YEAR(Personal_Finance_Dataset[[#This Row],[Date]])</f>
        <v>2021</v>
      </c>
      <c r="G536">
        <f t="shared" si="8"/>
        <v>2021</v>
      </c>
    </row>
    <row r="537" spans="1:7" x14ac:dyDescent="0.25">
      <c r="A537" s="8">
        <v>44367</v>
      </c>
      <c r="B537" s="9" t="s">
        <v>552</v>
      </c>
      <c r="C537" s="9" t="s">
        <v>11</v>
      </c>
      <c r="D537" s="9">
        <v>1010.12</v>
      </c>
      <c r="E537" s="9" t="s">
        <v>7</v>
      </c>
      <c r="F537" s="12">
        <f>YEAR(Personal_Finance_Dataset[[#This Row],[Date]])</f>
        <v>2021</v>
      </c>
      <c r="G537">
        <f t="shared" si="8"/>
        <v>2021</v>
      </c>
    </row>
    <row r="538" spans="1:7" x14ac:dyDescent="0.25">
      <c r="A538" s="8">
        <v>44368</v>
      </c>
      <c r="B538" s="9" t="s">
        <v>553</v>
      </c>
      <c r="C538" s="9" t="s">
        <v>13</v>
      </c>
      <c r="D538" s="9">
        <v>1902</v>
      </c>
      <c r="E538" s="9" t="s">
        <v>14</v>
      </c>
      <c r="F538" s="12">
        <f>YEAR(Personal_Finance_Dataset[[#This Row],[Date]])</f>
        <v>2021</v>
      </c>
      <c r="G538">
        <f t="shared" si="8"/>
        <v>2021</v>
      </c>
    </row>
    <row r="539" spans="1:7" x14ac:dyDescent="0.25">
      <c r="A539" s="8">
        <v>44369</v>
      </c>
      <c r="B539" s="9" t="s">
        <v>554</v>
      </c>
      <c r="C539" s="9" t="s">
        <v>25</v>
      </c>
      <c r="D539" s="9">
        <v>1686.63</v>
      </c>
      <c r="E539" s="9" t="s">
        <v>7</v>
      </c>
      <c r="F539" s="12">
        <f>YEAR(Personal_Finance_Dataset[[#This Row],[Date]])</f>
        <v>2021</v>
      </c>
      <c r="G539">
        <f t="shared" si="8"/>
        <v>2021</v>
      </c>
    </row>
    <row r="540" spans="1:7" x14ac:dyDescent="0.25">
      <c r="A540" s="8">
        <v>44370</v>
      </c>
      <c r="B540" s="9" t="s">
        <v>555</v>
      </c>
      <c r="C540" s="9" t="s">
        <v>6</v>
      </c>
      <c r="D540" s="9">
        <v>171.63</v>
      </c>
      <c r="E540" s="9" t="s">
        <v>7</v>
      </c>
      <c r="F540" s="12">
        <f>YEAR(Personal_Finance_Dataset[[#This Row],[Date]])</f>
        <v>2021</v>
      </c>
      <c r="G540">
        <f t="shared" si="8"/>
        <v>2021</v>
      </c>
    </row>
    <row r="541" spans="1:7" x14ac:dyDescent="0.25">
      <c r="A541" s="8">
        <v>44371</v>
      </c>
      <c r="B541" s="9" t="s">
        <v>556</v>
      </c>
      <c r="C541" s="9" t="s">
        <v>35</v>
      </c>
      <c r="D541" s="9">
        <v>1305.75</v>
      </c>
      <c r="E541" s="9" t="s">
        <v>7</v>
      </c>
      <c r="F541" s="12">
        <f>YEAR(Personal_Finance_Dataset[[#This Row],[Date]])</f>
        <v>2021</v>
      </c>
      <c r="G541">
        <f t="shared" si="8"/>
        <v>2021</v>
      </c>
    </row>
    <row r="542" spans="1:7" x14ac:dyDescent="0.25">
      <c r="A542" s="8">
        <v>44372</v>
      </c>
      <c r="B542" s="9" t="s">
        <v>557</v>
      </c>
      <c r="C542" s="9" t="s">
        <v>17</v>
      </c>
      <c r="D542" s="9">
        <v>1240.04</v>
      </c>
      <c r="E542" s="9" t="s">
        <v>7</v>
      </c>
      <c r="F542" s="12">
        <f>YEAR(Personal_Finance_Dataset[[#This Row],[Date]])</f>
        <v>2021</v>
      </c>
      <c r="G542">
        <f t="shared" si="8"/>
        <v>2021</v>
      </c>
    </row>
    <row r="543" spans="1:7" x14ac:dyDescent="0.25">
      <c r="A543" s="8">
        <v>44373</v>
      </c>
      <c r="B543" s="9" t="s">
        <v>558</v>
      </c>
      <c r="C543" s="9" t="s">
        <v>20</v>
      </c>
      <c r="D543" s="9">
        <v>2974</v>
      </c>
      <c r="E543" s="9" t="s">
        <v>14</v>
      </c>
      <c r="F543" s="12">
        <f>YEAR(Personal_Finance_Dataset[[#This Row],[Date]])</f>
        <v>2021</v>
      </c>
      <c r="G543">
        <f t="shared" si="8"/>
        <v>2021</v>
      </c>
    </row>
    <row r="544" spans="1:7" x14ac:dyDescent="0.25">
      <c r="A544" s="8">
        <v>44374</v>
      </c>
      <c r="B544" s="9" t="s">
        <v>559</v>
      </c>
      <c r="C544" s="9" t="s">
        <v>17</v>
      </c>
      <c r="D544" s="9">
        <v>601.89</v>
      </c>
      <c r="E544" s="9" t="s">
        <v>7</v>
      </c>
      <c r="F544" s="12">
        <f>YEAR(Personal_Finance_Dataset[[#This Row],[Date]])</f>
        <v>2021</v>
      </c>
      <c r="G544">
        <f t="shared" si="8"/>
        <v>2021</v>
      </c>
    </row>
    <row r="545" spans="1:7" x14ac:dyDescent="0.25">
      <c r="A545" s="8">
        <v>44375</v>
      </c>
      <c r="B545" s="9" t="s">
        <v>560</v>
      </c>
      <c r="C545" s="9" t="s">
        <v>13</v>
      </c>
      <c r="D545" s="9">
        <v>1794</v>
      </c>
      <c r="E545" s="9" t="s">
        <v>14</v>
      </c>
      <c r="F545" s="12">
        <f>YEAR(Personal_Finance_Dataset[[#This Row],[Date]])</f>
        <v>2021</v>
      </c>
      <c r="G545">
        <f t="shared" si="8"/>
        <v>2021</v>
      </c>
    </row>
    <row r="546" spans="1:7" x14ac:dyDescent="0.25">
      <c r="A546" s="8">
        <v>44376</v>
      </c>
      <c r="B546" s="9" t="s">
        <v>561</v>
      </c>
      <c r="C546" s="9" t="s">
        <v>27</v>
      </c>
      <c r="D546" s="9">
        <v>934.24</v>
      </c>
      <c r="E546" s="9" t="s">
        <v>7</v>
      </c>
      <c r="F546" s="12">
        <f>YEAR(Personal_Finance_Dataset[[#This Row],[Date]])</f>
        <v>2021</v>
      </c>
      <c r="G546">
        <f t="shared" si="8"/>
        <v>2021</v>
      </c>
    </row>
    <row r="547" spans="1:7" x14ac:dyDescent="0.25">
      <c r="A547" s="8">
        <v>44377</v>
      </c>
      <c r="B547" s="9" t="s">
        <v>562</v>
      </c>
      <c r="C547" s="9" t="s">
        <v>9</v>
      </c>
      <c r="D547" s="9">
        <v>632.04</v>
      </c>
      <c r="E547" s="9" t="s">
        <v>7</v>
      </c>
      <c r="F547" s="12">
        <f>YEAR(Personal_Finance_Dataset[[#This Row],[Date]])</f>
        <v>2021</v>
      </c>
      <c r="G547">
        <f t="shared" si="8"/>
        <v>2021</v>
      </c>
    </row>
    <row r="548" spans="1:7" x14ac:dyDescent="0.25">
      <c r="A548" s="8">
        <v>44378</v>
      </c>
      <c r="B548" s="9" t="s">
        <v>563</v>
      </c>
      <c r="C548" s="9" t="s">
        <v>25</v>
      </c>
      <c r="D548" s="9">
        <v>1950.99</v>
      </c>
      <c r="E548" s="9" t="s">
        <v>7</v>
      </c>
      <c r="F548" s="12">
        <f>YEAR(Personal_Finance_Dataset[[#This Row],[Date]])</f>
        <v>2021</v>
      </c>
      <c r="G548">
        <f t="shared" si="8"/>
        <v>2021</v>
      </c>
    </row>
    <row r="549" spans="1:7" x14ac:dyDescent="0.25">
      <c r="A549" s="8">
        <v>44379</v>
      </c>
      <c r="B549" s="9" t="s">
        <v>564</v>
      </c>
      <c r="C549" s="9" t="s">
        <v>20</v>
      </c>
      <c r="D549" s="9">
        <v>4718</v>
      </c>
      <c r="E549" s="9" t="s">
        <v>14</v>
      </c>
      <c r="F549" s="12">
        <f>YEAR(Personal_Finance_Dataset[[#This Row],[Date]])</f>
        <v>2021</v>
      </c>
      <c r="G549">
        <f t="shared" si="8"/>
        <v>2021</v>
      </c>
    </row>
    <row r="550" spans="1:7" x14ac:dyDescent="0.25">
      <c r="A550" s="8">
        <v>44380</v>
      </c>
      <c r="B550" s="9" t="s">
        <v>565</v>
      </c>
      <c r="C550" s="9" t="s">
        <v>25</v>
      </c>
      <c r="D550" s="9">
        <v>491.06</v>
      </c>
      <c r="E550" s="9" t="s">
        <v>7</v>
      </c>
      <c r="F550" s="12">
        <f>YEAR(Personal_Finance_Dataset[[#This Row],[Date]])</f>
        <v>2021</v>
      </c>
      <c r="G550">
        <f t="shared" si="8"/>
        <v>2021</v>
      </c>
    </row>
    <row r="551" spans="1:7" x14ac:dyDescent="0.25">
      <c r="A551" s="8">
        <v>44381</v>
      </c>
      <c r="B551" s="9" t="s">
        <v>566</v>
      </c>
      <c r="C551" s="9" t="s">
        <v>20</v>
      </c>
      <c r="D551" s="9">
        <v>2530</v>
      </c>
      <c r="E551" s="9" t="s">
        <v>14</v>
      </c>
      <c r="F551" s="12">
        <f>YEAR(Personal_Finance_Dataset[[#This Row],[Date]])</f>
        <v>2021</v>
      </c>
      <c r="G551">
        <f t="shared" si="8"/>
        <v>2021</v>
      </c>
    </row>
    <row r="552" spans="1:7" x14ac:dyDescent="0.25">
      <c r="A552" s="8">
        <v>44382</v>
      </c>
      <c r="B552" s="9" t="s">
        <v>567</v>
      </c>
      <c r="C552" s="9" t="s">
        <v>13</v>
      </c>
      <c r="D552" s="9">
        <v>2877</v>
      </c>
      <c r="E552" s="9" t="s">
        <v>14</v>
      </c>
      <c r="F552" s="12">
        <f>YEAR(Personal_Finance_Dataset[[#This Row],[Date]])</f>
        <v>2021</v>
      </c>
      <c r="G552">
        <f t="shared" si="8"/>
        <v>2021</v>
      </c>
    </row>
    <row r="553" spans="1:7" x14ac:dyDescent="0.25">
      <c r="A553" s="8">
        <v>44383</v>
      </c>
      <c r="B553" s="9" t="s">
        <v>568</v>
      </c>
      <c r="C553" s="9" t="s">
        <v>17</v>
      </c>
      <c r="D553" s="9">
        <v>504.06</v>
      </c>
      <c r="E553" s="9" t="s">
        <v>7</v>
      </c>
      <c r="F553" s="12">
        <f>YEAR(Personal_Finance_Dataset[[#This Row],[Date]])</f>
        <v>2021</v>
      </c>
      <c r="G553">
        <f t="shared" si="8"/>
        <v>2021</v>
      </c>
    </row>
    <row r="554" spans="1:7" x14ac:dyDescent="0.25">
      <c r="A554" s="8">
        <v>44384</v>
      </c>
      <c r="B554" s="9" t="s">
        <v>569</v>
      </c>
      <c r="C554" s="9" t="s">
        <v>9</v>
      </c>
      <c r="D554" s="9">
        <v>1628.82</v>
      </c>
      <c r="E554" s="9" t="s">
        <v>7</v>
      </c>
      <c r="F554" s="12">
        <f>YEAR(Personal_Finance_Dataset[[#This Row],[Date]])</f>
        <v>2021</v>
      </c>
      <c r="G554">
        <f t="shared" si="8"/>
        <v>2021</v>
      </c>
    </row>
    <row r="555" spans="1:7" x14ac:dyDescent="0.25">
      <c r="A555" s="8">
        <v>44385</v>
      </c>
      <c r="B555" s="9" t="s">
        <v>570</v>
      </c>
      <c r="C555" s="9" t="s">
        <v>25</v>
      </c>
      <c r="D555" s="9">
        <v>387.77</v>
      </c>
      <c r="E555" s="9" t="s">
        <v>7</v>
      </c>
      <c r="F555" s="12">
        <f>YEAR(Personal_Finance_Dataset[[#This Row],[Date]])</f>
        <v>2021</v>
      </c>
      <c r="G555">
        <f t="shared" si="8"/>
        <v>2021</v>
      </c>
    </row>
    <row r="556" spans="1:7" x14ac:dyDescent="0.25">
      <c r="A556" s="8">
        <v>44386</v>
      </c>
      <c r="B556" s="9" t="s">
        <v>571</v>
      </c>
      <c r="C556" s="9" t="s">
        <v>20</v>
      </c>
      <c r="D556" s="9">
        <v>4585</v>
      </c>
      <c r="E556" s="9" t="s">
        <v>14</v>
      </c>
      <c r="F556" s="12">
        <f>YEAR(Personal_Finance_Dataset[[#This Row],[Date]])</f>
        <v>2021</v>
      </c>
      <c r="G556">
        <f t="shared" si="8"/>
        <v>2021</v>
      </c>
    </row>
    <row r="557" spans="1:7" x14ac:dyDescent="0.25">
      <c r="A557" s="8">
        <v>44387</v>
      </c>
      <c r="B557" s="9" t="s">
        <v>572</v>
      </c>
      <c r="C557" s="9" t="s">
        <v>27</v>
      </c>
      <c r="D557" s="9">
        <v>56.12</v>
      </c>
      <c r="E557" s="9" t="s">
        <v>7</v>
      </c>
      <c r="F557" s="12">
        <f>YEAR(Personal_Finance_Dataset[[#This Row],[Date]])</f>
        <v>2021</v>
      </c>
      <c r="G557">
        <f t="shared" si="8"/>
        <v>2021</v>
      </c>
    </row>
    <row r="558" spans="1:7" x14ac:dyDescent="0.25">
      <c r="A558" s="8">
        <v>44388</v>
      </c>
      <c r="B558" s="9" t="s">
        <v>573</v>
      </c>
      <c r="C558" s="9" t="s">
        <v>27</v>
      </c>
      <c r="D558" s="9">
        <v>1933.71</v>
      </c>
      <c r="E558" s="9" t="s">
        <v>7</v>
      </c>
      <c r="F558" s="12">
        <f>YEAR(Personal_Finance_Dataset[[#This Row],[Date]])</f>
        <v>2021</v>
      </c>
      <c r="G558">
        <f t="shared" si="8"/>
        <v>2021</v>
      </c>
    </row>
    <row r="559" spans="1:7" x14ac:dyDescent="0.25">
      <c r="A559" s="8">
        <v>44389</v>
      </c>
      <c r="B559" s="9" t="s">
        <v>574</v>
      </c>
      <c r="C559" s="9" t="s">
        <v>25</v>
      </c>
      <c r="D559" s="9">
        <v>106.83</v>
      </c>
      <c r="E559" s="9" t="s">
        <v>7</v>
      </c>
      <c r="F559" s="12">
        <f>YEAR(Personal_Finance_Dataset[[#This Row],[Date]])</f>
        <v>2021</v>
      </c>
      <c r="G559">
        <f t="shared" si="8"/>
        <v>2021</v>
      </c>
    </row>
    <row r="560" spans="1:7" x14ac:dyDescent="0.25">
      <c r="A560" s="8">
        <v>44390</v>
      </c>
      <c r="B560" s="9" t="s">
        <v>575</v>
      </c>
      <c r="C560" s="9" t="s">
        <v>27</v>
      </c>
      <c r="D560" s="9">
        <v>578.64</v>
      </c>
      <c r="E560" s="9" t="s">
        <v>7</v>
      </c>
      <c r="F560" s="12">
        <f>YEAR(Personal_Finance_Dataset[[#This Row],[Date]])</f>
        <v>2021</v>
      </c>
      <c r="G560">
        <f t="shared" si="8"/>
        <v>2021</v>
      </c>
    </row>
    <row r="561" spans="1:7" x14ac:dyDescent="0.25">
      <c r="A561" s="8">
        <v>44391</v>
      </c>
      <c r="B561" s="9" t="s">
        <v>576</v>
      </c>
      <c r="C561" s="9" t="s">
        <v>13</v>
      </c>
      <c r="D561" s="9">
        <v>4030</v>
      </c>
      <c r="E561" s="9" t="s">
        <v>14</v>
      </c>
      <c r="F561" s="12">
        <f>YEAR(Personal_Finance_Dataset[[#This Row],[Date]])</f>
        <v>2021</v>
      </c>
      <c r="G561">
        <f t="shared" si="8"/>
        <v>2021</v>
      </c>
    </row>
    <row r="562" spans="1:7" x14ac:dyDescent="0.25">
      <c r="A562" s="8">
        <v>44392</v>
      </c>
      <c r="B562" s="9" t="s">
        <v>577</v>
      </c>
      <c r="C562" s="9" t="s">
        <v>20</v>
      </c>
      <c r="D562" s="9">
        <v>3496</v>
      </c>
      <c r="E562" s="9" t="s">
        <v>14</v>
      </c>
      <c r="F562" s="12">
        <f>YEAR(Personal_Finance_Dataset[[#This Row],[Date]])</f>
        <v>2021</v>
      </c>
      <c r="G562">
        <f t="shared" si="8"/>
        <v>2021</v>
      </c>
    </row>
    <row r="563" spans="1:7" x14ac:dyDescent="0.25">
      <c r="A563" s="8">
        <v>44393</v>
      </c>
      <c r="B563" s="9" t="s">
        <v>578</v>
      </c>
      <c r="C563" s="9" t="s">
        <v>25</v>
      </c>
      <c r="D563" s="9">
        <v>100.03</v>
      </c>
      <c r="E563" s="9" t="s">
        <v>7</v>
      </c>
      <c r="F563" s="12">
        <f>YEAR(Personal_Finance_Dataset[[#This Row],[Date]])</f>
        <v>2021</v>
      </c>
      <c r="G563">
        <f t="shared" si="8"/>
        <v>2021</v>
      </c>
    </row>
    <row r="564" spans="1:7" x14ac:dyDescent="0.25">
      <c r="A564" s="8">
        <v>44394</v>
      </c>
      <c r="B564" s="9" t="s">
        <v>579</v>
      </c>
      <c r="C564" s="9" t="s">
        <v>13</v>
      </c>
      <c r="D564" s="9">
        <v>3469</v>
      </c>
      <c r="E564" s="9" t="s">
        <v>14</v>
      </c>
      <c r="F564" s="12">
        <f>YEAR(Personal_Finance_Dataset[[#This Row],[Date]])</f>
        <v>2021</v>
      </c>
      <c r="G564">
        <f t="shared" si="8"/>
        <v>2021</v>
      </c>
    </row>
    <row r="565" spans="1:7" x14ac:dyDescent="0.25">
      <c r="A565" s="8">
        <v>44395</v>
      </c>
      <c r="B565" s="9" t="s">
        <v>580</v>
      </c>
      <c r="C565" s="9" t="s">
        <v>11</v>
      </c>
      <c r="D565" s="9">
        <v>778.83</v>
      </c>
      <c r="E565" s="9" t="s">
        <v>7</v>
      </c>
      <c r="F565" s="12">
        <f>YEAR(Personal_Finance_Dataset[[#This Row],[Date]])</f>
        <v>2021</v>
      </c>
      <c r="G565">
        <f t="shared" si="8"/>
        <v>2021</v>
      </c>
    </row>
    <row r="566" spans="1:7" x14ac:dyDescent="0.25">
      <c r="A566" s="8">
        <v>44396</v>
      </c>
      <c r="B566" s="9" t="s">
        <v>581</v>
      </c>
      <c r="C566" s="9" t="s">
        <v>35</v>
      </c>
      <c r="D566" s="9">
        <v>1652.37</v>
      </c>
      <c r="E566" s="9" t="s">
        <v>7</v>
      </c>
      <c r="F566" s="12">
        <f>YEAR(Personal_Finance_Dataset[[#This Row],[Date]])</f>
        <v>2021</v>
      </c>
      <c r="G566">
        <f t="shared" si="8"/>
        <v>2021</v>
      </c>
    </row>
    <row r="567" spans="1:7" x14ac:dyDescent="0.25">
      <c r="A567" s="8">
        <v>44397</v>
      </c>
      <c r="B567" s="9" t="s">
        <v>582</v>
      </c>
      <c r="C567" s="9" t="s">
        <v>11</v>
      </c>
      <c r="D567" s="9">
        <v>266.04000000000002</v>
      </c>
      <c r="E567" s="9" t="s">
        <v>7</v>
      </c>
      <c r="F567" s="12">
        <f>YEAR(Personal_Finance_Dataset[[#This Row],[Date]])</f>
        <v>2021</v>
      </c>
      <c r="G567">
        <f t="shared" si="8"/>
        <v>2021</v>
      </c>
    </row>
    <row r="568" spans="1:7" x14ac:dyDescent="0.25">
      <c r="A568" s="8">
        <v>44398</v>
      </c>
      <c r="B568" s="9" t="s">
        <v>583</v>
      </c>
      <c r="C568" s="9" t="s">
        <v>20</v>
      </c>
      <c r="D568" s="9">
        <v>3277</v>
      </c>
      <c r="E568" s="9" t="s">
        <v>14</v>
      </c>
      <c r="F568" s="12">
        <f>YEAR(Personal_Finance_Dataset[[#This Row],[Date]])</f>
        <v>2021</v>
      </c>
      <c r="G568">
        <f t="shared" si="8"/>
        <v>2021</v>
      </c>
    </row>
    <row r="569" spans="1:7" x14ac:dyDescent="0.25">
      <c r="A569" s="8">
        <v>44399</v>
      </c>
      <c r="B569" s="9" t="s">
        <v>584</v>
      </c>
      <c r="C569" s="9" t="s">
        <v>25</v>
      </c>
      <c r="D569" s="9">
        <v>1512.38</v>
      </c>
      <c r="E569" s="9" t="s">
        <v>7</v>
      </c>
      <c r="F569" s="12">
        <f>YEAR(Personal_Finance_Dataset[[#This Row],[Date]])</f>
        <v>2021</v>
      </c>
      <c r="G569">
        <f t="shared" si="8"/>
        <v>2021</v>
      </c>
    </row>
    <row r="570" spans="1:7" x14ac:dyDescent="0.25">
      <c r="A570" s="8">
        <v>44400</v>
      </c>
      <c r="B570" s="9" t="s">
        <v>585</v>
      </c>
      <c r="C570" s="9" t="s">
        <v>20</v>
      </c>
      <c r="D570" s="9">
        <v>4596</v>
      </c>
      <c r="E570" s="9" t="s">
        <v>14</v>
      </c>
      <c r="F570" s="12">
        <f>YEAR(Personal_Finance_Dataset[[#This Row],[Date]])</f>
        <v>2021</v>
      </c>
      <c r="G570">
        <f t="shared" si="8"/>
        <v>2021</v>
      </c>
    </row>
    <row r="571" spans="1:7" x14ac:dyDescent="0.25">
      <c r="A571" s="8">
        <v>44401</v>
      </c>
      <c r="B571" s="9" t="s">
        <v>586</v>
      </c>
      <c r="C571" s="9" t="s">
        <v>13</v>
      </c>
      <c r="D571" s="9">
        <v>1622</v>
      </c>
      <c r="E571" s="9" t="s">
        <v>14</v>
      </c>
      <c r="F571" s="12">
        <f>YEAR(Personal_Finance_Dataset[[#This Row],[Date]])</f>
        <v>2021</v>
      </c>
      <c r="G571">
        <f t="shared" si="8"/>
        <v>2021</v>
      </c>
    </row>
    <row r="572" spans="1:7" x14ac:dyDescent="0.25">
      <c r="A572" s="8">
        <v>44402</v>
      </c>
      <c r="B572" s="9" t="s">
        <v>587</v>
      </c>
      <c r="C572" s="9" t="s">
        <v>27</v>
      </c>
      <c r="D572" s="9">
        <v>1043.47</v>
      </c>
      <c r="E572" s="9" t="s">
        <v>7</v>
      </c>
      <c r="F572" s="12">
        <f>YEAR(Personal_Finance_Dataset[[#This Row],[Date]])</f>
        <v>2021</v>
      </c>
      <c r="G572">
        <f t="shared" si="8"/>
        <v>2021</v>
      </c>
    </row>
    <row r="573" spans="1:7" x14ac:dyDescent="0.25">
      <c r="A573" s="8">
        <v>44403</v>
      </c>
      <c r="B573" s="9" t="s">
        <v>588</v>
      </c>
      <c r="C573" s="9" t="s">
        <v>13</v>
      </c>
      <c r="D573" s="9">
        <v>3186</v>
      </c>
      <c r="E573" s="9" t="s">
        <v>14</v>
      </c>
      <c r="F573" s="12">
        <f>YEAR(Personal_Finance_Dataset[[#This Row],[Date]])</f>
        <v>2021</v>
      </c>
      <c r="G573">
        <f t="shared" si="8"/>
        <v>2021</v>
      </c>
    </row>
    <row r="574" spans="1:7" x14ac:dyDescent="0.25">
      <c r="A574" s="8">
        <v>44404</v>
      </c>
      <c r="B574" s="9" t="s">
        <v>589</v>
      </c>
      <c r="C574" s="9" t="s">
        <v>25</v>
      </c>
      <c r="D574" s="9">
        <v>333.38</v>
      </c>
      <c r="E574" s="9" t="s">
        <v>7</v>
      </c>
      <c r="F574" s="12">
        <f>YEAR(Personal_Finance_Dataset[[#This Row],[Date]])</f>
        <v>2021</v>
      </c>
      <c r="G574">
        <f t="shared" si="8"/>
        <v>2021</v>
      </c>
    </row>
    <row r="575" spans="1:7" x14ac:dyDescent="0.25">
      <c r="A575" s="8">
        <v>44405</v>
      </c>
      <c r="B575" s="9" t="s">
        <v>590</v>
      </c>
      <c r="C575" s="9" t="s">
        <v>35</v>
      </c>
      <c r="D575" s="9">
        <v>1191.51</v>
      </c>
      <c r="E575" s="9" t="s">
        <v>7</v>
      </c>
      <c r="F575" s="12">
        <f>YEAR(Personal_Finance_Dataset[[#This Row],[Date]])</f>
        <v>2021</v>
      </c>
      <c r="G575">
        <f t="shared" si="8"/>
        <v>2021</v>
      </c>
    </row>
    <row r="576" spans="1:7" x14ac:dyDescent="0.25">
      <c r="A576" s="8">
        <v>44406</v>
      </c>
      <c r="B576" s="9" t="s">
        <v>591</v>
      </c>
      <c r="C576" s="9" t="s">
        <v>27</v>
      </c>
      <c r="D576" s="9">
        <v>1420.39</v>
      </c>
      <c r="E576" s="9" t="s">
        <v>7</v>
      </c>
      <c r="F576" s="12">
        <f>YEAR(Personal_Finance_Dataset[[#This Row],[Date]])</f>
        <v>2021</v>
      </c>
      <c r="G576">
        <f t="shared" si="8"/>
        <v>2021</v>
      </c>
    </row>
    <row r="577" spans="1:7" x14ac:dyDescent="0.25">
      <c r="A577" s="8">
        <v>44407</v>
      </c>
      <c r="B577" s="9" t="s">
        <v>592</v>
      </c>
      <c r="C577" s="9" t="s">
        <v>6</v>
      </c>
      <c r="D577" s="9">
        <v>743.03</v>
      </c>
      <c r="E577" s="9" t="s">
        <v>7</v>
      </c>
      <c r="F577" s="12">
        <f>YEAR(Personal_Finance_Dataset[[#This Row],[Date]])</f>
        <v>2021</v>
      </c>
      <c r="G577">
        <f t="shared" si="8"/>
        <v>2021</v>
      </c>
    </row>
    <row r="578" spans="1:7" x14ac:dyDescent="0.25">
      <c r="A578" s="8">
        <v>44408</v>
      </c>
      <c r="B578" s="9" t="s">
        <v>593</v>
      </c>
      <c r="C578" s="9" t="s">
        <v>17</v>
      </c>
      <c r="D578" s="9">
        <v>1171.57</v>
      </c>
      <c r="E578" s="9" t="s">
        <v>7</v>
      </c>
      <c r="F578" s="12">
        <f>YEAR(Personal_Finance_Dataset[[#This Row],[Date]])</f>
        <v>2021</v>
      </c>
      <c r="G578">
        <f t="shared" ref="G578:G641" si="9">YEAR(A578)</f>
        <v>2021</v>
      </c>
    </row>
    <row r="579" spans="1:7" x14ac:dyDescent="0.25">
      <c r="A579" s="8">
        <v>44409</v>
      </c>
      <c r="B579" s="9" t="s">
        <v>594</v>
      </c>
      <c r="C579" s="9" t="s">
        <v>6</v>
      </c>
      <c r="D579" s="9">
        <v>1197.8499999999999</v>
      </c>
      <c r="E579" s="9" t="s">
        <v>7</v>
      </c>
      <c r="F579" s="12">
        <f>YEAR(Personal_Finance_Dataset[[#This Row],[Date]])</f>
        <v>2021</v>
      </c>
      <c r="G579">
        <f t="shared" si="9"/>
        <v>2021</v>
      </c>
    </row>
    <row r="580" spans="1:7" x14ac:dyDescent="0.25">
      <c r="A580" s="8">
        <v>44410</v>
      </c>
      <c r="B580" s="9" t="s">
        <v>595</v>
      </c>
      <c r="C580" s="9" t="s">
        <v>22</v>
      </c>
      <c r="D580" s="9">
        <v>1445.59</v>
      </c>
      <c r="E580" s="9" t="s">
        <v>7</v>
      </c>
      <c r="F580" s="12">
        <f>YEAR(Personal_Finance_Dataset[[#This Row],[Date]])</f>
        <v>2021</v>
      </c>
      <c r="G580">
        <f t="shared" si="9"/>
        <v>2021</v>
      </c>
    </row>
    <row r="581" spans="1:7" x14ac:dyDescent="0.25">
      <c r="A581" s="8">
        <v>44411</v>
      </c>
      <c r="B581" s="9" t="s">
        <v>596</v>
      </c>
      <c r="C581" s="9" t="s">
        <v>9</v>
      </c>
      <c r="D581" s="9">
        <v>1053.22</v>
      </c>
      <c r="E581" s="9" t="s">
        <v>7</v>
      </c>
      <c r="F581" s="12">
        <f>YEAR(Personal_Finance_Dataset[[#This Row],[Date]])</f>
        <v>2021</v>
      </c>
      <c r="G581">
        <f t="shared" si="9"/>
        <v>2021</v>
      </c>
    </row>
    <row r="582" spans="1:7" x14ac:dyDescent="0.25">
      <c r="A582" s="8">
        <v>44412</v>
      </c>
      <c r="B582" s="9" t="s">
        <v>597</v>
      </c>
      <c r="C582" s="9" t="s">
        <v>17</v>
      </c>
      <c r="D582" s="9">
        <v>304.07</v>
      </c>
      <c r="E582" s="9" t="s">
        <v>7</v>
      </c>
      <c r="F582" s="12">
        <f>YEAR(Personal_Finance_Dataset[[#This Row],[Date]])</f>
        <v>2021</v>
      </c>
      <c r="G582">
        <f t="shared" si="9"/>
        <v>2021</v>
      </c>
    </row>
    <row r="583" spans="1:7" x14ac:dyDescent="0.25">
      <c r="A583" s="8">
        <v>44413</v>
      </c>
      <c r="B583" s="9" t="s">
        <v>598</v>
      </c>
      <c r="C583" s="9" t="s">
        <v>6</v>
      </c>
      <c r="D583" s="9">
        <v>1149.4100000000001</v>
      </c>
      <c r="E583" s="9" t="s">
        <v>7</v>
      </c>
      <c r="F583" s="12">
        <f>YEAR(Personal_Finance_Dataset[[#This Row],[Date]])</f>
        <v>2021</v>
      </c>
      <c r="G583">
        <f t="shared" si="9"/>
        <v>2021</v>
      </c>
    </row>
    <row r="584" spans="1:7" x14ac:dyDescent="0.25">
      <c r="A584" s="8">
        <v>44414</v>
      </c>
      <c r="B584" s="9" t="s">
        <v>599</v>
      </c>
      <c r="C584" s="9" t="s">
        <v>22</v>
      </c>
      <c r="D584" s="9">
        <v>47.69</v>
      </c>
      <c r="E584" s="9" t="s">
        <v>7</v>
      </c>
      <c r="F584" s="12">
        <f>YEAR(Personal_Finance_Dataset[[#This Row],[Date]])</f>
        <v>2021</v>
      </c>
      <c r="G584">
        <f t="shared" si="9"/>
        <v>2021</v>
      </c>
    </row>
    <row r="585" spans="1:7" x14ac:dyDescent="0.25">
      <c r="A585" s="8">
        <v>44415</v>
      </c>
      <c r="B585" s="9" t="s">
        <v>600</v>
      </c>
      <c r="C585" s="9" t="s">
        <v>9</v>
      </c>
      <c r="D585" s="9">
        <v>831.79</v>
      </c>
      <c r="E585" s="9" t="s">
        <v>7</v>
      </c>
      <c r="F585" s="12">
        <f>YEAR(Personal_Finance_Dataset[[#This Row],[Date]])</f>
        <v>2021</v>
      </c>
      <c r="G585">
        <f t="shared" si="9"/>
        <v>2021</v>
      </c>
    </row>
    <row r="586" spans="1:7" x14ac:dyDescent="0.25">
      <c r="A586" s="8">
        <v>44416</v>
      </c>
      <c r="B586" s="9" t="s">
        <v>601</v>
      </c>
      <c r="C586" s="9" t="s">
        <v>27</v>
      </c>
      <c r="D586" s="9">
        <v>1746.91</v>
      </c>
      <c r="E586" s="9" t="s">
        <v>7</v>
      </c>
      <c r="F586" s="12">
        <f>YEAR(Personal_Finance_Dataset[[#This Row],[Date]])</f>
        <v>2021</v>
      </c>
      <c r="G586">
        <f t="shared" si="9"/>
        <v>2021</v>
      </c>
    </row>
    <row r="587" spans="1:7" x14ac:dyDescent="0.25">
      <c r="A587" s="8">
        <v>44417</v>
      </c>
      <c r="B587" s="9" t="s">
        <v>602</v>
      </c>
      <c r="C587" s="9" t="s">
        <v>6</v>
      </c>
      <c r="D587" s="9">
        <v>1414.49</v>
      </c>
      <c r="E587" s="9" t="s">
        <v>7</v>
      </c>
      <c r="F587" s="12">
        <f>YEAR(Personal_Finance_Dataset[[#This Row],[Date]])</f>
        <v>2021</v>
      </c>
      <c r="G587">
        <f t="shared" si="9"/>
        <v>2021</v>
      </c>
    </row>
    <row r="588" spans="1:7" x14ac:dyDescent="0.25">
      <c r="A588" s="8">
        <v>44418</v>
      </c>
      <c r="B588" s="9" t="s">
        <v>603</v>
      </c>
      <c r="C588" s="9" t="s">
        <v>25</v>
      </c>
      <c r="D588" s="9">
        <v>1996.26</v>
      </c>
      <c r="E588" s="9" t="s">
        <v>7</v>
      </c>
      <c r="F588" s="12">
        <f>YEAR(Personal_Finance_Dataset[[#This Row],[Date]])</f>
        <v>2021</v>
      </c>
      <c r="G588">
        <f t="shared" si="9"/>
        <v>2021</v>
      </c>
    </row>
    <row r="589" spans="1:7" x14ac:dyDescent="0.25">
      <c r="A589" s="8">
        <v>44419</v>
      </c>
      <c r="B589" s="9" t="s">
        <v>604</v>
      </c>
      <c r="C589" s="9" t="s">
        <v>17</v>
      </c>
      <c r="D589" s="9">
        <v>634.37</v>
      </c>
      <c r="E589" s="9" t="s">
        <v>7</v>
      </c>
      <c r="F589" s="12">
        <f>YEAR(Personal_Finance_Dataset[[#This Row],[Date]])</f>
        <v>2021</v>
      </c>
      <c r="G589">
        <f t="shared" si="9"/>
        <v>2021</v>
      </c>
    </row>
    <row r="590" spans="1:7" x14ac:dyDescent="0.25">
      <c r="A590" s="8">
        <v>44420</v>
      </c>
      <c r="B590" s="9" t="s">
        <v>605</v>
      </c>
      <c r="C590" s="9" t="s">
        <v>20</v>
      </c>
      <c r="D590" s="9">
        <v>4975</v>
      </c>
      <c r="E590" s="9" t="s">
        <v>14</v>
      </c>
      <c r="F590" s="12">
        <f>YEAR(Personal_Finance_Dataset[[#This Row],[Date]])</f>
        <v>2021</v>
      </c>
      <c r="G590">
        <f t="shared" si="9"/>
        <v>2021</v>
      </c>
    </row>
    <row r="591" spans="1:7" x14ac:dyDescent="0.25">
      <c r="A591" s="8">
        <v>44421</v>
      </c>
      <c r="B591" s="9" t="s">
        <v>606</v>
      </c>
      <c r="C591" s="9" t="s">
        <v>35</v>
      </c>
      <c r="D591" s="9">
        <v>1224.05</v>
      </c>
      <c r="E591" s="9" t="s">
        <v>7</v>
      </c>
      <c r="F591" s="12">
        <f>YEAR(Personal_Finance_Dataset[[#This Row],[Date]])</f>
        <v>2021</v>
      </c>
      <c r="G591">
        <f t="shared" si="9"/>
        <v>2021</v>
      </c>
    </row>
    <row r="592" spans="1:7" x14ac:dyDescent="0.25">
      <c r="A592" s="8">
        <v>44422</v>
      </c>
      <c r="B592" s="9" t="s">
        <v>607</v>
      </c>
      <c r="C592" s="9" t="s">
        <v>13</v>
      </c>
      <c r="D592" s="9">
        <v>2785</v>
      </c>
      <c r="E592" s="9" t="s">
        <v>14</v>
      </c>
      <c r="F592" s="12">
        <f>YEAR(Personal_Finance_Dataset[[#This Row],[Date]])</f>
        <v>2021</v>
      </c>
      <c r="G592">
        <f t="shared" si="9"/>
        <v>2021</v>
      </c>
    </row>
    <row r="593" spans="1:7" x14ac:dyDescent="0.25">
      <c r="A593" s="8">
        <v>44423</v>
      </c>
      <c r="B593" s="9" t="s">
        <v>608</v>
      </c>
      <c r="C593" s="9" t="s">
        <v>22</v>
      </c>
      <c r="D593" s="9">
        <v>1883.56</v>
      </c>
      <c r="E593" s="9" t="s">
        <v>7</v>
      </c>
      <c r="F593" s="12">
        <f>YEAR(Personal_Finance_Dataset[[#This Row],[Date]])</f>
        <v>2021</v>
      </c>
      <c r="G593">
        <f t="shared" si="9"/>
        <v>2021</v>
      </c>
    </row>
    <row r="594" spans="1:7" x14ac:dyDescent="0.25">
      <c r="A594" s="8">
        <v>44424</v>
      </c>
      <c r="B594" s="9" t="s">
        <v>609</v>
      </c>
      <c r="C594" s="9" t="s">
        <v>35</v>
      </c>
      <c r="D594" s="9">
        <v>1412.75</v>
      </c>
      <c r="E594" s="9" t="s">
        <v>7</v>
      </c>
      <c r="F594" s="12">
        <f>YEAR(Personal_Finance_Dataset[[#This Row],[Date]])</f>
        <v>2021</v>
      </c>
      <c r="G594">
        <f t="shared" si="9"/>
        <v>2021</v>
      </c>
    </row>
    <row r="595" spans="1:7" x14ac:dyDescent="0.25">
      <c r="A595" s="8">
        <v>44425</v>
      </c>
      <c r="B595" s="9" t="s">
        <v>610</v>
      </c>
      <c r="C595" s="9" t="s">
        <v>27</v>
      </c>
      <c r="D595" s="9">
        <v>640.91</v>
      </c>
      <c r="E595" s="9" t="s">
        <v>7</v>
      </c>
      <c r="F595" s="12">
        <f>YEAR(Personal_Finance_Dataset[[#This Row],[Date]])</f>
        <v>2021</v>
      </c>
      <c r="G595">
        <f t="shared" si="9"/>
        <v>2021</v>
      </c>
    </row>
    <row r="596" spans="1:7" x14ac:dyDescent="0.25">
      <c r="A596" s="8">
        <v>44426</v>
      </c>
      <c r="B596" s="9" t="s">
        <v>611</v>
      </c>
      <c r="C596" s="9" t="s">
        <v>35</v>
      </c>
      <c r="D596" s="9">
        <v>582.70000000000005</v>
      </c>
      <c r="E596" s="9" t="s">
        <v>7</v>
      </c>
      <c r="F596" s="12">
        <f>YEAR(Personal_Finance_Dataset[[#This Row],[Date]])</f>
        <v>2021</v>
      </c>
      <c r="G596">
        <f t="shared" si="9"/>
        <v>2021</v>
      </c>
    </row>
    <row r="597" spans="1:7" x14ac:dyDescent="0.25">
      <c r="A597" s="8">
        <v>44427</v>
      </c>
      <c r="B597" s="9" t="s">
        <v>612</v>
      </c>
      <c r="C597" s="9" t="s">
        <v>17</v>
      </c>
      <c r="D597" s="9">
        <v>1792.56</v>
      </c>
      <c r="E597" s="9" t="s">
        <v>7</v>
      </c>
      <c r="F597" s="12">
        <f>YEAR(Personal_Finance_Dataset[[#This Row],[Date]])</f>
        <v>2021</v>
      </c>
      <c r="G597">
        <f t="shared" si="9"/>
        <v>2021</v>
      </c>
    </row>
    <row r="598" spans="1:7" x14ac:dyDescent="0.25">
      <c r="A598" s="8">
        <v>44428</v>
      </c>
      <c r="B598" s="9" t="s">
        <v>613</v>
      </c>
      <c r="C598" s="9" t="s">
        <v>25</v>
      </c>
      <c r="D598" s="9">
        <v>1909.67</v>
      </c>
      <c r="E598" s="9" t="s">
        <v>7</v>
      </c>
      <c r="F598" s="12">
        <f>YEAR(Personal_Finance_Dataset[[#This Row],[Date]])</f>
        <v>2021</v>
      </c>
      <c r="G598">
        <f t="shared" si="9"/>
        <v>2021</v>
      </c>
    </row>
    <row r="599" spans="1:7" x14ac:dyDescent="0.25">
      <c r="A599" s="8">
        <v>44429</v>
      </c>
      <c r="B599" s="9" t="s">
        <v>614</v>
      </c>
      <c r="C599" s="9" t="s">
        <v>35</v>
      </c>
      <c r="D599" s="9">
        <v>93.71</v>
      </c>
      <c r="E599" s="9" t="s">
        <v>7</v>
      </c>
      <c r="F599" s="12">
        <f>YEAR(Personal_Finance_Dataset[[#This Row],[Date]])</f>
        <v>2021</v>
      </c>
      <c r="G599">
        <f t="shared" si="9"/>
        <v>2021</v>
      </c>
    </row>
    <row r="600" spans="1:7" x14ac:dyDescent="0.25">
      <c r="A600" s="8">
        <v>44430</v>
      </c>
      <c r="B600" s="9" t="s">
        <v>615</v>
      </c>
      <c r="C600" s="9" t="s">
        <v>11</v>
      </c>
      <c r="D600" s="9">
        <v>699.26</v>
      </c>
      <c r="E600" s="9" t="s">
        <v>7</v>
      </c>
      <c r="F600" s="12">
        <f>YEAR(Personal_Finance_Dataset[[#This Row],[Date]])</f>
        <v>2021</v>
      </c>
      <c r="G600">
        <f t="shared" si="9"/>
        <v>2021</v>
      </c>
    </row>
    <row r="601" spans="1:7" x14ac:dyDescent="0.25">
      <c r="A601" s="8">
        <v>44431</v>
      </c>
      <c r="B601" s="9" t="s">
        <v>616</v>
      </c>
      <c r="C601" s="9" t="s">
        <v>35</v>
      </c>
      <c r="D601" s="9">
        <v>1497.2</v>
      </c>
      <c r="E601" s="9" t="s">
        <v>7</v>
      </c>
      <c r="F601" s="12">
        <f>YEAR(Personal_Finance_Dataset[[#This Row],[Date]])</f>
        <v>2021</v>
      </c>
      <c r="G601">
        <f t="shared" si="9"/>
        <v>2021</v>
      </c>
    </row>
    <row r="602" spans="1:7" x14ac:dyDescent="0.25">
      <c r="A602" s="8">
        <v>44432</v>
      </c>
      <c r="B602" s="9" t="s">
        <v>617</v>
      </c>
      <c r="C602" s="9" t="s">
        <v>35</v>
      </c>
      <c r="D602" s="9">
        <v>1866.72</v>
      </c>
      <c r="E602" s="9" t="s">
        <v>7</v>
      </c>
      <c r="F602" s="12">
        <f>YEAR(Personal_Finance_Dataset[[#This Row],[Date]])</f>
        <v>2021</v>
      </c>
      <c r="G602">
        <f t="shared" si="9"/>
        <v>2021</v>
      </c>
    </row>
    <row r="603" spans="1:7" x14ac:dyDescent="0.25">
      <c r="A603" s="8">
        <v>44433</v>
      </c>
      <c r="B603" s="9" t="s">
        <v>618</v>
      </c>
      <c r="C603" s="9" t="s">
        <v>9</v>
      </c>
      <c r="D603" s="9">
        <v>227.36</v>
      </c>
      <c r="E603" s="9" t="s">
        <v>7</v>
      </c>
      <c r="F603" s="12">
        <f>YEAR(Personal_Finance_Dataset[[#This Row],[Date]])</f>
        <v>2021</v>
      </c>
      <c r="G603">
        <f t="shared" si="9"/>
        <v>2021</v>
      </c>
    </row>
    <row r="604" spans="1:7" x14ac:dyDescent="0.25">
      <c r="A604" s="8">
        <v>44434</v>
      </c>
      <c r="B604" s="9" t="s">
        <v>619</v>
      </c>
      <c r="C604" s="9" t="s">
        <v>22</v>
      </c>
      <c r="D604" s="9">
        <v>492.49</v>
      </c>
      <c r="E604" s="9" t="s">
        <v>7</v>
      </c>
      <c r="F604" s="12">
        <f>YEAR(Personal_Finance_Dataset[[#This Row],[Date]])</f>
        <v>2021</v>
      </c>
      <c r="G604">
        <f t="shared" si="9"/>
        <v>2021</v>
      </c>
    </row>
    <row r="605" spans="1:7" x14ac:dyDescent="0.25">
      <c r="A605" s="8">
        <v>44435</v>
      </c>
      <c r="B605" s="9" t="s">
        <v>620</v>
      </c>
      <c r="C605" s="9" t="s">
        <v>22</v>
      </c>
      <c r="D605" s="9">
        <v>1279.51</v>
      </c>
      <c r="E605" s="9" t="s">
        <v>7</v>
      </c>
      <c r="F605" s="12">
        <f>YEAR(Personal_Finance_Dataset[[#This Row],[Date]])</f>
        <v>2021</v>
      </c>
      <c r="G605">
        <f t="shared" si="9"/>
        <v>2021</v>
      </c>
    </row>
    <row r="606" spans="1:7" x14ac:dyDescent="0.25">
      <c r="A606" s="8">
        <v>44436</v>
      </c>
      <c r="B606" s="9" t="s">
        <v>621</v>
      </c>
      <c r="C606" s="9" t="s">
        <v>20</v>
      </c>
      <c r="D606" s="9">
        <v>3205</v>
      </c>
      <c r="E606" s="9" t="s">
        <v>14</v>
      </c>
      <c r="F606" s="12">
        <f>YEAR(Personal_Finance_Dataset[[#This Row],[Date]])</f>
        <v>2021</v>
      </c>
      <c r="G606">
        <f t="shared" si="9"/>
        <v>2021</v>
      </c>
    </row>
    <row r="607" spans="1:7" x14ac:dyDescent="0.25">
      <c r="A607" s="8">
        <v>44437</v>
      </c>
      <c r="B607" s="9" t="s">
        <v>622</v>
      </c>
      <c r="C607" s="9" t="s">
        <v>11</v>
      </c>
      <c r="D607" s="9">
        <v>1365.57</v>
      </c>
      <c r="E607" s="9" t="s">
        <v>7</v>
      </c>
      <c r="F607" s="12">
        <f>YEAR(Personal_Finance_Dataset[[#This Row],[Date]])</f>
        <v>2021</v>
      </c>
      <c r="G607">
        <f t="shared" si="9"/>
        <v>2021</v>
      </c>
    </row>
    <row r="608" spans="1:7" x14ac:dyDescent="0.25">
      <c r="A608" s="8">
        <v>44438</v>
      </c>
      <c r="B608" s="9" t="s">
        <v>623</v>
      </c>
      <c r="C608" s="9" t="s">
        <v>13</v>
      </c>
      <c r="D608" s="9">
        <v>3833</v>
      </c>
      <c r="E608" s="9" t="s">
        <v>14</v>
      </c>
      <c r="F608" s="12">
        <f>YEAR(Personal_Finance_Dataset[[#This Row],[Date]])</f>
        <v>2021</v>
      </c>
      <c r="G608">
        <f t="shared" si="9"/>
        <v>2021</v>
      </c>
    </row>
    <row r="609" spans="1:7" x14ac:dyDescent="0.25">
      <c r="A609" s="8">
        <v>44439</v>
      </c>
      <c r="B609" s="9" t="s">
        <v>624</v>
      </c>
      <c r="C609" s="9" t="s">
        <v>27</v>
      </c>
      <c r="D609" s="9">
        <v>960.12</v>
      </c>
      <c r="E609" s="9" t="s">
        <v>7</v>
      </c>
      <c r="F609" s="12">
        <f>YEAR(Personal_Finance_Dataset[[#This Row],[Date]])</f>
        <v>2021</v>
      </c>
      <c r="G609">
        <f t="shared" si="9"/>
        <v>2021</v>
      </c>
    </row>
    <row r="610" spans="1:7" x14ac:dyDescent="0.25">
      <c r="A610" s="8">
        <v>44440</v>
      </c>
      <c r="B610" s="9" t="s">
        <v>625</v>
      </c>
      <c r="C610" s="9" t="s">
        <v>20</v>
      </c>
      <c r="D610" s="9">
        <v>3131</v>
      </c>
      <c r="E610" s="9" t="s">
        <v>14</v>
      </c>
      <c r="F610" s="12">
        <f>YEAR(Personal_Finance_Dataset[[#This Row],[Date]])</f>
        <v>2021</v>
      </c>
      <c r="G610">
        <f t="shared" si="9"/>
        <v>2021</v>
      </c>
    </row>
    <row r="611" spans="1:7" x14ac:dyDescent="0.25">
      <c r="A611" s="8">
        <v>44441</v>
      </c>
      <c r="B611" s="9" t="s">
        <v>626</v>
      </c>
      <c r="C611" s="9" t="s">
        <v>6</v>
      </c>
      <c r="D611" s="9">
        <v>1816.79</v>
      </c>
      <c r="E611" s="9" t="s">
        <v>7</v>
      </c>
      <c r="F611" s="12">
        <f>YEAR(Personal_Finance_Dataset[[#This Row],[Date]])</f>
        <v>2021</v>
      </c>
      <c r="G611">
        <f t="shared" si="9"/>
        <v>2021</v>
      </c>
    </row>
    <row r="612" spans="1:7" x14ac:dyDescent="0.25">
      <c r="A612" s="8">
        <v>44442</v>
      </c>
      <c r="B612" s="9" t="s">
        <v>627</v>
      </c>
      <c r="C612" s="9" t="s">
        <v>13</v>
      </c>
      <c r="D612" s="9">
        <v>4883</v>
      </c>
      <c r="E612" s="9" t="s">
        <v>14</v>
      </c>
      <c r="F612" s="12">
        <f>YEAR(Personal_Finance_Dataset[[#This Row],[Date]])</f>
        <v>2021</v>
      </c>
      <c r="G612">
        <f t="shared" si="9"/>
        <v>2021</v>
      </c>
    </row>
    <row r="613" spans="1:7" x14ac:dyDescent="0.25">
      <c r="A613" s="8">
        <v>44443</v>
      </c>
      <c r="B613" s="9" t="s">
        <v>628</v>
      </c>
      <c r="C613" s="9" t="s">
        <v>6</v>
      </c>
      <c r="D613" s="9">
        <v>1827.33</v>
      </c>
      <c r="E613" s="9" t="s">
        <v>7</v>
      </c>
      <c r="F613" s="12">
        <f>YEAR(Personal_Finance_Dataset[[#This Row],[Date]])</f>
        <v>2021</v>
      </c>
      <c r="G613">
        <f t="shared" si="9"/>
        <v>2021</v>
      </c>
    </row>
    <row r="614" spans="1:7" x14ac:dyDescent="0.25">
      <c r="A614" s="8">
        <v>44444</v>
      </c>
      <c r="B614" s="9" t="s">
        <v>629</v>
      </c>
      <c r="C614" s="9" t="s">
        <v>13</v>
      </c>
      <c r="D614" s="9">
        <v>797</v>
      </c>
      <c r="E614" s="9" t="s">
        <v>14</v>
      </c>
      <c r="F614" s="12">
        <f>YEAR(Personal_Finance_Dataset[[#This Row],[Date]])</f>
        <v>2021</v>
      </c>
      <c r="G614">
        <f t="shared" si="9"/>
        <v>2021</v>
      </c>
    </row>
    <row r="615" spans="1:7" x14ac:dyDescent="0.25">
      <c r="A615" s="8">
        <v>44445</v>
      </c>
      <c r="B615" s="9" t="s">
        <v>630</v>
      </c>
      <c r="C615" s="9" t="s">
        <v>17</v>
      </c>
      <c r="D615" s="9">
        <v>1578.04</v>
      </c>
      <c r="E615" s="9" t="s">
        <v>7</v>
      </c>
      <c r="F615" s="12">
        <f>YEAR(Personal_Finance_Dataset[[#This Row],[Date]])</f>
        <v>2021</v>
      </c>
      <c r="G615">
        <f t="shared" si="9"/>
        <v>2021</v>
      </c>
    </row>
    <row r="616" spans="1:7" x14ac:dyDescent="0.25">
      <c r="A616" s="8">
        <v>44446</v>
      </c>
      <c r="B616" s="9" t="s">
        <v>631</v>
      </c>
      <c r="C616" s="9" t="s">
        <v>20</v>
      </c>
      <c r="D616" s="9">
        <v>806</v>
      </c>
      <c r="E616" s="9" t="s">
        <v>14</v>
      </c>
      <c r="F616" s="12">
        <f>YEAR(Personal_Finance_Dataset[[#This Row],[Date]])</f>
        <v>2021</v>
      </c>
      <c r="G616">
        <f t="shared" si="9"/>
        <v>2021</v>
      </c>
    </row>
    <row r="617" spans="1:7" x14ac:dyDescent="0.25">
      <c r="A617" s="8">
        <v>44447</v>
      </c>
      <c r="B617" s="9" t="s">
        <v>632</v>
      </c>
      <c r="C617" s="9" t="s">
        <v>13</v>
      </c>
      <c r="D617" s="9">
        <v>3244</v>
      </c>
      <c r="E617" s="9" t="s">
        <v>14</v>
      </c>
      <c r="F617" s="12">
        <f>YEAR(Personal_Finance_Dataset[[#This Row],[Date]])</f>
        <v>2021</v>
      </c>
      <c r="G617">
        <f t="shared" si="9"/>
        <v>2021</v>
      </c>
    </row>
    <row r="618" spans="1:7" x14ac:dyDescent="0.25">
      <c r="A618" s="8">
        <v>44448</v>
      </c>
      <c r="B618" s="9" t="s">
        <v>633</v>
      </c>
      <c r="C618" s="9" t="s">
        <v>27</v>
      </c>
      <c r="D618" s="9">
        <v>1779.63</v>
      </c>
      <c r="E618" s="9" t="s">
        <v>7</v>
      </c>
      <c r="F618" s="12">
        <f>YEAR(Personal_Finance_Dataset[[#This Row],[Date]])</f>
        <v>2021</v>
      </c>
      <c r="G618">
        <f t="shared" si="9"/>
        <v>2021</v>
      </c>
    </row>
    <row r="619" spans="1:7" x14ac:dyDescent="0.25">
      <c r="A619" s="8">
        <v>44449</v>
      </c>
      <c r="B619" s="9" t="s">
        <v>634</v>
      </c>
      <c r="C619" s="9" t="s">
        <v>20</v>
      </c>
      <c r="D619" s="9">
        <v>2735</v>
      </c>
      <c r="E619" s="9" t="s">
        <v>14</v>
      </c>
      <c r="F619" s="12">
        <f>YEAR(Personal_Finance_Dataset[[#This Row],[Date]])</f>
        <v>2021</v>
      </c>
      <c r="G619">
        <f t="shared" si="9"/>
        <v>2021</v>
      </c>
    </row>
    <row r="620" spans="1:7" x14ac:dyDescent="0.25">
      <c r="A620" s="8">
        <v>44450</v>
      </c>
      <c r="B620" s="9" t="s">
        <v>635</v>
      </c>
      <c r="C620" s="9" t="s">
        <v>13</v>
      </c>
      <c r="D620" s="9">
        <v>3208</v>
      </c>
      <c r="E620" s="9" t="s">
        <v>14</v>
      </c>
      <c r="F620" s="12">
        <f>YEAR(Personal_Finance_Dataset[[#This Row],[Date]])</f>
        <v>2021</v>
      </c>
      <c r="G620">
        <f t="shared" si="9"/>
        <v>2021</v>
      </c>
    </row>
    <row r="621" spans="1:7" x14ac:dyDescent="0.25">
      <c r="A621" s="8">
        <v>44451</v>
      </c>
      <c r="B621" s="9" t="s">
        <v>636</v>
      </c>
      <c r="C621" s="9" t="s">
        <v>20</v>
      </c>
      <c r="D621" s="9">
        <v>2607</v>
      </c>
      <c r="E621" s="9" t="s">
        <v>14</v>
      </c>
      <c r="F621" s="12">
        <f>YEAR(Personal_Finance_Dataset[[#This Row],[Date]])</f>
        <v>2021</v>
      </c>
      <c r="G621">
        <f t="shared" si="9"/>
        <v>2021</v>
      </c>
    </row>
    <row r="622" spans="1:7" x14ac:dyDescent="0.25">
      <c r="A622" s="8">
        <v>44452</v>
      </c>
      <c r="B622" s="9" t="s">
        <v>637</v>
      </c>
      <c r="C622" s="9" t="s">
        <v>6</v>
      </c>
      <c r="D622" s="9">
        <v>1475.87</v>
      </c>
      <c r="E622" s="9" t="s">
        <v>7</v>
      </c>
      <c r="F622" s="12">
        <f>YEAR(Personal_Finance_Dataset[[#This Row],[Date]])</f>
        <v>2021</v>
      </c>
      <c r="G622">
        <f t="shared" si="9"/>
        <v>2021</v>
      </c>
    </row>
    <row r="623" spans="1:7" x14ac:dyDescent="0.25">
      <c r="A623" s="8">
        <v>44453</v>
      </c>
      <c r="B623" s="9" t="s">
        <v>638</v>
      </c>
      <c r="C623" s="9" t="s">
        <v>22</v>
      </c>
      <c r="D623" s="9">
        <v>359.23</v>
      </c>
      <c r="E623" s="9" t="s">
        <v>7</v>
      </c>
      <c r="F623" s="12">
        <f>YEAR(Personal_Finance_Dataset[[#This Row],[Date]])</f>
        <v>2021</v>
      </c>
      <c r="G623">
        <f t="shared" si="9"/>
        <v>2021</v>
      </c>
    </row>
    <row r="624" spans="1:7" x14ac:dyDescent="0.25">
      <c r="A624" s="8">
        <v>44454</v>
      </c>
      <c r="B624" s="9" t="s">
        <v>639</v>
      </c>
      <c r="C624" s="9" t="s">
        <v>17</v>
      </c>
      <c r="D624" s="9">
        <v>1655.71</v>
      </c>
      <c r="E624" s="9" t="s">
        <v>7</v>
      </c>
      <c r="F624" s="12">
        <f>YEAR(Personal_Finance_Dataset[[#This Row],[Date]])</f>
        <v>2021</v>
      </c>
      <c r="G624">
        <f t="shared" si="9"/>
        <v>2021</v>
      </c>
    </row>
    <row r="625" spans="1:7" x14ac:dyDescent="0.25">
      <c r="A625" s="8">
        <v>44455</v>
      </c>
      <c r="B625" s="9" t="s">
        <v>640</v>
      </c>
      <c r="C625" s="9" t="s">
        <v>11</v>
      </c>
      <c r="D625" s="9">
        <v>807.66</v>
      </c>
      <c r="E625" s="9" t="s">
        <v>7</v>
      </c>
      <c r="F625" s="12">
        <f>YEAR(Personal_Finance_Dataset[[#This Row],[Date]])</f>
        <v>2021</v>
      </c>
      <c r="G625">
        <f t="shared" si="9"/>
        <v>2021</v>
      </c>
    </row>
    <row r="626" spans="1:7" x14ac:dyDescent="0.25">
      <c r="A626" s="8">
        <v>44456</v>
      </c>
      <c r="B626" s="9" t="s">
        <v>641</v>
      </c>
      <c r="C626" s="9" t="s">
        <v>13</v>
      </c>
      <c r="D626" s="9">
        <v>4411</v>
      </c>
      <c r="E626" s="9" t="s">
        <v>14</v>
      </c>
      <c r="F626" s="12">
        <f>YEAR(Personal_Finance_Dataset[[#This Row],[Date]])</f>
        <v>2021</v>
      </c>
      <c r="G626">
        <f t="shared" si="9"/>
        <v>2021</v>
      </c>
    </row>
    <row r="627" spans="1:7" x14ac:dyDescent="0.25">
      <c r="A627" s="8">
        <v>44457</v>
      </c>
      <c r="B627" s="9" t="s">
        <v>642</v>
      </c>
      <c r="C627" s="9" t="s">
        <v>22</v>
      </c>
      <c r="D627" s="9">
        <v>23.59</v>
      </c>
      <c r="E627" s="9" t="s">
        <v>7</v>
      </c>
      <c r="F627" s="12">
        <f>YEAR(Personal_Finance_Dataset[[#This Row],[Date]])</f>
        <v>2021</v>
      </c>
      <c r="G627">
        <f t="shared" si="9"/>
        <v>2021</v>
      </c>
    </row>
    <row r="628" spans="1:7" x14ac:dyDescent="0.25">
      <c r="A628" s="8">
        <v>44458</v>
      </c>
      <c r="B628" s="9" t="s">
        <v>643</v>
      </c>
      <c r="C628" s="9" t="s">
        <v>27</v>
      </c>
      <c r="D628" s="9">
        <v>1509.98</v>
      </c>
      <c r="E628" s="9" t="s">
        <v>7</v>
      </c>
      <c r="F628" s="12">
        <f>YEAR(Personal_Finance_Dataset[[#This Row],[Date]])</f>
        <v>2021</v>
      </c>
      <c r="G628">
        <f t="shared" si="9"/>
        <v>2021</v>
      </c>
    </row>
    <row r="629" spans="1:7" x14ac:dyDescent="0.25">
      <c r="A629" s="8">
        <v>44459</v>
      </c>
      <c r="B629" s="9" t="s">
        <v>644</v>
      </c>
      <c r="C629" s="9" t="s">
        <v>35</v>
      </c>
      <c r="D629" s="9">
        <v>1169.0999999999999</v>
      </c>
      <c r="E629" s="9" t="s">
        <v>7</v>
      </c>
      <c r="F629" s="12">
        <f>YEAR(Personal_Finance_Dataset[[#This Row],[Date]])</f>
        <v>2021</v>
      </c>
      <c r="G629">
        <f t="shared" si="9"/>
        <v>2021</v>
      </c>
    </row>
    <row r="630" spans="1:7" x14ac:dyDescent="0.25">
      <c r="A630" s="8">
        <v>44460</v>
      </c>
      <c r="B630" s="9" t="s">
        <v>645</v>
      </c>
      <c r="C630" s="9" t="s">
        <v>35</v>
      </c>
      <c r="D630" s="9">
        <v>1310.83</v>
      </c>
      <c r="E630" s="9" t="s">
        <v>7</v>
      </c>
      <c r="F630" s="12">
        <f>YEAR(Personal_Finance_Dataset[[#This Row],[Date]])</f>
        <v>2021</v>
      </c>
      <c r="G630">
        <f t="shared" si="9"/>
        <v>2021</v>
      </c>
    </row>
    <row r="631" spans="1:7" x14ac:dyDescent="0.25">
      <c r="A631" s="8">
        <v>44461</v>
      </c>
      <c r="B631" s="9" t="s">
        <v>646</v>
      </c>
      <c r="C631" s="9" t="s">
        <v>6</v>
      </c>
      <c r="D631" s="9">
        <v>1338.89</v>
      </c>
      <c r="E631" s="9" t="s">
        <v>7</v>
      </c>
      <c r="F631" s="12">
        <f>YEAR(Personal_Finance_Dataset[[#This Row],[Date]])</f>
        <v>2021</v>
      </c>
      <c r="G631">
        <f t="shared" si="9"/>
        <v>2021</v>
      </c>
    </row>
    <row r="632" spans="1:7" x14ac:dyDescent="0.25">
      <c r="A632" s="8">
        <v>44462</v>
      </c>
      <c r="B632" s="9" t="s">
        <v>647</v>
      </c>
      <c r="C632" s="9" t="s">
        <v>9</v>
      </c>
      <c r="D632" s="9">
        <v>816.78</v>
      </c>
      <c r="E632" s="9" t="s">
        <v>7</v>
      </c>
      <c r="F632" s="12">
        <f>YEAR(Personal_Finance_Dataset[[#This Row],[Date]])</f>
        <v>2021</v>
      </c>
      <c r="G632">
        <f t="shared" si="9"/>
        <v>2021</v>
      </c>
    </row>
    <row r="633" spans="1:7" x14ac:dyDescent="0.25">
      <c r="A633" s="8">
        <v>44463</v>
      </c>
      <c r="B633" s="9" t="s">
        <v>648</v>
      </c>
      <c r="C633" s="9" t="s">
        <v>35</v>
      </c>
      <c r="D633" s="9">
        <v>1383.68</v>
      </c>
      <c r="E633" s="9" t="s">
        <v>7</v>
      </c>
      <c r="F633" s="12">
        <f>YEAR(Personal_Finance_Dataset[[#This Row],[Date]])</f>
        <v>2021</v>
      </c>
      <c r="G633">
        <f t="shared" si="9"/>
        <v>2021</v>
      </c>
    </row>
    <row r="634" spans="1:7" x14ac:dyDescent="0.25">
      <c r="A634" s="8">
        <v>44464</v>
      </c>
      <c r="B634" s="9" t="s">
        <v>649</v>
      </c>
      <c r="C634" s="9" t="s">
        <v>35</v>
      </c>
      <c r="D634" s="9">
        <v>741.41</v>
      </c>
      <c r="E634" s="9" t="s">
        <v>7</v>
      </c>
      <c r="F634" s="12">
        <f>YEAR(Personal_Finance_Dataset[[#This Row],[Date]])</f>
        <v>2021</v>
      </c>
      <c r="G634">
        <f t="shared" si="9"/>
        <v>2021</v>
      </c>
    </row>
    <row r="635" spans="1:7" x14ac:dyDescent="0.25">
      <c r="A635" s="8">
        <v>44465</v>
      </c>
      <c r="B635" s="9" t="s">
        <v>650</v>
      </c>
      <c r="C635" s="9" t="s">
        <v>9</v>
      </c>
      <c r="D635" s="9">
        <v>961.58</v>
      </c>
      <c r="E635" s="9" t="s">
        <v>7</v>
      </c>
      <c r="F635" s="12">
        <f>YEAR(Personal_Finance_Dataset[[#This Row],[Date]])</f>
        <v>2021</v>
      </c>
      <c r="G635">
        <f t="shared" si="9"/>
        <v>2021</v>
      </c>
    </row>
    <row r="636" spans="1:7" x14ac:dyDescent="0.25">
      <c r="A636" s="8">
        <v>44466</v>
      </c>
      <c r="B636" s="9" t="s">
        <v>651</v>
      </c>
      <c r="C636" s="9" t="s">
        <v>25</v>
      </c>
      <c r="D636" s="9">
        <v>837.53</v>
      </c>
      <c r="E636" s="9" t="s">
        <v>7</v>
      </c>
      <c r="F636" s="12">
        <f>YEAR(Personal_Finance_Dataset[[#This Row],[Date]])</f>
        <v>2021</v>
      </c>
      <c r="G636">
        <f t="shared" si="9"/>
        <v>2021</v>
      </c>
    </row>
    <row r="637" spans="1:7" x14ac:dyDescent="0.25">
      <c r="A637" s="8">
        <v>44467</v>
      </c>
      <c r="B637" s="9" t="s">
        <v>652</v>
      </c>
      <c r="C637" s="9" t="s">
        <v>27</v>
      </c>
      <c r="D637" s="9">
        <v>1517.13</v>
      </c>
      <c r="E637" s="9" t="s">
        <v>7</v>
      </c>
      <c r="F637" s="12">
        <f>YEAR(Personal_Finance_Dataset[[#This Row],[Date]])</f>
        <v>2021</v>
      </c>
      <c r="G637">
        <f t="shared" si="9"/>
        <v>2021</v>
      </c>
    </row>
    <row r="638" spans="1:7" x14ac:dyDescent="0.25">
      <c r="A638" s="8">
        <v>44468</v>
      </c>
      <c r="B638" s="9" t="s">
        <v>653</v>
      </c>
      <c r="C638" s="9" t="s">
        <v>22</v>
      </c>
      <c r="D638" s="9">
        <v>1526.1</v>
      </c>
      <c r="E638" s="9" t="s">
        <v>7</v>
      </c>
      <c r="F638" s="12">
        <f>YEAR(Personal_Finance_Dataset[[#This Row],[Date]])</f>
        <v>2021</v>
      </c>
      <c r="G638">
        <f t="shared" si="9"/>
        <v>2021</v>
      </c>
    </row>
    <row r="639" spans="1:7" x14ac:dyDescent="0.25">
      <c r="A639" s="8">
        <v>44469</v>
      </c>
      <c r="B639" s="9" t="s">
        <v>654</v>
      </c>
      <c r="C639" s="9" t="s">
        <v>11</v>
      </c>
      <c r="D639" s="9">
        <v>1055.76</v>
      </c>
      <c r="E639" s="9" t="s">
        <v>7</v>
      </c>
      <c r="F639" s="12">
        <f>YEAR(Personal_Finance_Dataset[[#This Row],[Date]])</f>
        <v>2021</v>
      </c>
      <c r="G639">
        <f t="shared" si="9"/>
        <v>2021</v>
      </c>
    </row>
    <row r="640" spans="1:7" x14ac:dyDescent="0.25">
      <c r="A640" s="8">
        <v>44470</v>
      </c>
      <c r="B640" s="9" t="s">
        <v>655</v>
      </c>
      <c r="C640" s="9" t="s">
        <v>25</v>
      </c>
      <c r="D640" s="9">
        <v>165.42</v>
      </c>
      <c r="E640" s="9" t="s">
        <v>7</v>
      </c>
      <c r="F640" s="12">
        <f>YEAR(Personal_Finance_Dataset[[#This Row],[Date]])</f>
        <v>2021</v>
      </c>
      <c r="G640">
        <f t="shared" si="9"/>
        <v>2021</v>
      </c>
    </row>
    <row r="641" spans="1:7" x14ac:dyDescent="0.25">
      <c r="A641" s="8">
        <v>44471</v>
      </c>
      <c r="B641" s="9" t="s">
        <v>656</v>
      </c>
      <c r="C641" s="9" t="s">
        <v>6</v>
      </c>
      <c r="D641" s="9">
        <v>1659.26</v>
      </c>
      <c r="E641" s="9" t="s">
        <v>7</v>
      </c>
      <c r="F641" s="12">
        <f>YEAR(Personal_Finance_Dataset[[#This Row],[Date]])</f>
        <v>2021</v>
      </c>
      <c r="G641">
        <f t="shared" si="9"/>
        <v>2021</v>
      </c>
    </row>
    <row r="642" spans="1:7" x14ac:dyDescent="0.25">
      <c r="A642" s="8">
        <v>44472</v>
      </c>
      <c r="B642" s="9" t="s">
        <v>657</v>
      </c>
      <c r="C642" s="9" t="s">
        <v>22</v>
      </c>
      <c r="D642" s="9">
        <v>1149.68</v>
      </c>
      <c r="E642" s="9" t="s">
        <v>7</v>
      </c>
      <c r="F642" s="12">
        <f>YEAR(Personal_Finance_Dataset[[#This Row],[Date]])</f>
        <v>2021</v>
      </c>
      <c r="G642">
        <f t="shared" ref="G642:G705" si="10">YEAR(A642)</f>
        <v>2021</v>
      </c>
    </row>
    <row r="643" spans="1:7" x14ac:dyDescent="0.25">
      <c r="A643" s="8">
        <v>44473</v>
      </c>
      <c r="B643" s="9" t="s">
        <v>658</v>
      </c>
      <c r="C643" s="9" t="s">
        <v>20</v>
      </c>
      <c r="D643" s="9">
        <v>4762</v>
      </c>
      <c r="E643" s="9" t="s">
        <v>14</v>
      </c>
      <c r="F643" s="12">
        <f>YEAR(Personal_Finance_Dataset[[#This Row],[Date]])</f>
        <v>2021</v>
      </c>
      <c r="G643">
        <f t="shared" si="10"/>
        <v>2021</v>
      </c>
    </row>
    <row r="644" spans="1:7" x14ac:dyDescent="0.25">
      <c r="A644" s="8">
        <v>44474</v>
      </c>
      <c r="B644" s="9" t="s">
        <v>659</v>
      </c>
      <c r="C644" s="9" t="s">
        <v>22</v>
      </c>
      <c r="D644" s="9">
        <v>1436.67</v>
      </c>
      <c r="E644" s="9" t="s">
        <v>7</v>
      </c>
      <c r="F644" s="12">
        <f>YEAR(Personal_Finance_Dataset[[#This Row],[Date]])</f>
        <v>2021</v>
      </c>
      <c r="G644">
        <f t="shared" si="10"/>
        <v>2021</v>
      </c>
    </row>
    <row r="645" spans="1:7" x14ac:dyDescent="0.25">
      <c r="A645" s="8">
        <v>44475</v>
      </c>
      <c r="B645" s="9" t="s">
        <v>660</v>
      </c>
      <c r="C645" s="9" t="s">
        <v>27</v>
      </c>
      <c r="D645" s="9">
        <v>1619.3</v>
      </c>
      <c r="E645" s="9" t="s">
        <v>7</v>
      </c>
      <c r="F645" s="12">
        <f>YEAR(Personal_Finance_Dataset[[#This Row],[Date]])</f>
        <v>2021</v>
      </c>
      <c r="G645">
        <f t="shared" si="10"/>
        <v>2021</v>
      </c>
    </row>
    <row r="646" spans="1:7" x14ac:dyDescent="0.25">
      <c r="A646" s="8">
        <v>44476</v>
      </c>
      <c r="B646" s="9" t="s">
        <v>661</v>
      </c>
      <c r="C646" s="9" t="s">
        <v>17</v>
      </c>
      <c r="D646" s="9">
        <v>919.03</v>
      </c>
      <c r="E646" s="9" t="s">
        <v>7</v>
      </c>
      <c r="F646" s="12">
        <f>YEAR(Personal_Finance_Dataset[[#This Row],[Date]])</f>
        <v>2021</v>
      </c>
      <c r="G646">
        <f t="shared" si="10"/>
        <v>2021</v>
      </c>
    </row>
    <row r="647" spans="1:7" x14ac:dyDescent="0.25">
      <c r="A647" s="8">
        <v>44477</v>
      </c>
      <c r="B647" s="9" t="s">
        <v>662</v>
      </c>
      <c r="C647" s="9" t="s">
        <v>20</v>
      </c>
      <c r="D647" s="9">
        <v>3024</v>
      </c>
      <c r="E647" s="9" t="s">
        <v>14</v>
      </c>
      <c r="F647" s="12">
        <f>YEAR(Personal_Finance_Dataset[[#This Row],[Date]])</f>
        <v>2021</v>
      </c>
      <c r="G647">
        <f t="shared" si="10"/>
        <v>2021</v>
      </c>
    </row>
    <row r="648" spans="1:7" x14ac:dyDescent="0.25">
      <c r="A648" s="8">
        <v>44478</v>
      </c>
      <c r="B648" s="9" t="s">
        <v>663</v>
      </c>
      <c r="C648" s="9" t="s">
        <v>17</v>
      </c>
      <c r="D648" s="9">
        <v>516.37</v>
      </c>
      <c r="E648" s="9" t="s">
        <v>7</v>
      </c>
      <c r="F648" s="12">
        <f>YEAR(Personal_Finance_Dataset[[#This Row],[Date]])</f>
        <v>2021</v>
      </c>
      <c r="G648">
        <f t="shared" si="10"/>
        <v>2021</v>
      </c>
    </row>
    <row r="649" spans="1:7" x14ac:dyDescent="0.25">
      <c r="A649" s="8">
        <v>44479</v>
      </c>
      <c r="B649" s="9" t="s">
        <v>664</v>
      </c>
      <c r="C649" s="9" t="s">
        <v>13</v>
      </c>
      <c r="D649" s="9">
        <v>1098</v>
      </c>
      <c r="E649" s="9" t="s">
        <v>14</v>
      </c>
      <c r="F649" s="12">
        <f>YEAR(Personal_Finance_Dataset[[#This Row],[Date]])</f>
        <v>2021</v>
      </c>
      <c r="G649">
        <f t="shared" si="10"/>
        <v>2021</v>
      </c>
    </row>
    <row r="650" spans="1:7" x14ac:dyDescent="0.25">
      <c r="A650" s="8">
        <v>44480</v>
      </c>
      <c r="B650" s="9" t="s">
        <v>665</v>
      </c>
      <c r="C650" s="9" t="s">
        <v>20</v>
      </c>
      <c r="D650" s="9">
        <v>1022</v>
      </c>
      <c r="E650" s="9" t="s">
        <v>14</v>
      </c>
      <c r="F650" s="12">
        <f>YEAR(Personal_Finance_Dataset[[#This Row],[Date]])</f>
        <v>2021</v>
      </c>
      <c r="G650">
        <f t="shared" si="10"/>
        <v>2021</v>
      </c>
    </row>
    <row r="651" spans="1:7" x14ac:dyDescent="0.25">
      <c r="A651" s="8">
        <v>44481</v>
      </c>
      <c r="B651" s="9" t="s">
        <v>666</v>
      </c>
      <c r="C651" s="9" t="s">
        <v>6</v>
      </c>
      <c r="D651" s="9">
        <v>1869.82</v>
      </c>
      <c r="E651" s="9" t="s">
        <v>7</v>
      </c>
      <c r="F651" s="12">
        <f>YEAR(Personal_Finance_Dataset[[#This Row],[Date]])</f>
        <v>2021</v>
      </c>
      <c r="G651">
        <f t="shared" si="10"/>
        <v>2021</v>
      </c>
    </row>
    <row r="652" spans="1:7" x14ac:dyDescent="0.25">
      <c r="A652" s="8">
        <v>44482</v>
      </c>
      <c r="B652" s="9" t="s">
        <v>667</v>
      </c>
      <c r="C652" s="9" t="s">
        <v>20</v>
      </c>
      <c r="D652" s="9">
        <v>759</v>
      </c>
      <c r="E652" s="9" t="s">
        <v>14</v>
      </c>
      <c r="F652" s="12">
        <f>YEAR(Personal_Finance_Dataset[[#This Row],[Date]])</f>
        <v>2021</v>
      </c>
      <c r="G652">
        <f t="shared" si="10"/>
        <v>2021</v>
      </c>
    </row>
    <row r="653" spans="1:7" x14ac:dyDescent="0.25">
      <c r="A653" s="8">
        <v>44483</v>
      </c>
      <c r="B653" s="9" t="s">
        <v>668</v>
      </c>
      <c r="C653" s="9" t="s">
        <v>9</v>
      </c>
      <c r="D653" s="9">
        <v>1540.25</v>
      </c>
      <c r="E653" s="9" t="s">
        <v>7</v>
      </c>
      <c r="F653" s="12">
        <f>YEAR(Personal_Finance_Dataset[[#This Row],[Date]])</f>
        <v>2021</v>
      </c>
      <c r="G653">
        <f t="shared" si="10"/>
        <v>2021</v>
      </c>
    </row>
    <row r="654" spans="1:7" x14ac:dyDescent="0.25">
      <c r="A654" s="8">
        <v>44484</v>
      </c>
      <c r="B654" s="9" t="s">
        <v>669</v>
      </c>
      <c r="C654" s="9" t="s">
        <v>17</v>
      </c>
      <c r="D654" s="9">
        <v>755.18</v>
      </c>
      <c r="E654" s="9" t="s">
        <v>7</v>
      </c>
      <c r="F654" s="12">
        <f>YEAR(Personal_Finance_Dataset[[#This Row],[Date]])</f>
        <v>2021</v>
      </c>
      <c r="G654">
        <f t="shared" si="10"/>
        <v>2021</v>
      </c>
    </row>
    <row r="655" spans="1:7" x14ac:dyDescent="0.25">
      <c r="A655" s="8">
        <v>44485</v>
      </c>
      <c r="B655" s="9" t="s">
        <v>670</v>
      </c>
      <c r="C655" s="9" t="s">
        <v>27</v>
      </c>
      <c r="D655" s="9">
        <v>1740.54</v>
      </c>
      <c r="E655" s="9" t="s">
        <v>7</v>
      </c>
      <c r="F655" s="12">
        <f>YEAR(Personal_Finance_Dataset[[#This Row],[Date]])</f>
        <v>2021</v>
      </c>
      <c r="G655">
        <f t="shared" si="10"/>
        <v>2021</v>
      </c>
    </row>
    <row r="656" spans="1:7" x14ac:dyDescent="0.25">
      <c r="A656" s="8">
        <v>44486</v>
      </c>
      <c r="B656" s="9" t="s">
        <v>671</v>
      </c>
      <c r="C656" s="9" t="s">
        <v>17</v>
      </c>
      <c r="D656" s="9">
        <v>169.7</v>
      </c>
      <c r="E656" s="9" t="s">
        <v>7</v>
      </c>
      <c r="F656" s="12">
        <f>YEAR(Personal_Finance_Dataset[[#This Row],[Date]])</f>
        <v>2021</v>
      </c>
      <c r="G656">
        <f t="shared" si="10"/>
        <v>2021</v>
      </c>
    </row>
    <row r="657" spans="1:7" x14ac:dyDescent="0.25">
      <c r="A657" s="8">
        <v>44487</v>
      </c>
      <c r="B657" s="9" t="s">
        <v>672</v>
      </c>
      <c r="C657" s="9" t="s">
        <v>9</v>
      </c>
      <c r="D657" s="9">
        <v>1310.53</v>
      </c>
      <c r="E657" s="9" t="s">
        <v>7</v>
      </c>
      <c r="F657" s="12">
        <f>YEAR(Personal_Finance_Dataset[[#This Row],[Date]])</f>
        <v>2021</v>
      </c>
      <c r="G657">
        <f t="shared" si="10"/>
        <v>2021</v>
      </c>
    </row>
    <row r="658" spans="1:7" x14ac:dyDescent="0.25">
      <c r="A658" s="8">
        <v>44488</v>
      </c>
      <c r="B658" s="9" t="s">
        <v>673</v>
      </c>
      <c r="C658" s="9" t="s">
        <v>9</v>
      </c>
      <c r="D658" s="9">
        <v>1985.77</v>
      </c>
      <c r="E658" s="9" t="s">
        <v>7</v>
      </c>
      <c r="F658" s="12">
        <f>YEAR(Personal_Finance_Dataset[[#This Row],[Date]])</f>
        <v>2021</v>
      </c>
      <c r="G658">
        <f t="shared" si="10"/>
        <v>2021</v>
      </c>
    </row>
    <row r="659" spans="1:7" x14ac:dyDescent="0.25">
      <c r="A659" s="8">
        <v>44489</v>
      </c>
      <c r="B659" s="9" t="s">
        <v>674</v>
      </c>
      <c r="C659" s="9" t="s">
        <v>9</v>
      </c>
      <c r="D659" s="9">
        <v>1458.44</v>
      </c>
      <c r="E659" s="9" t="s">
        <v>7</v>
      </c>
      <c r="F659" s="12">
        <f>YEAR(Personal_Finance_Dataset[[#This Row],[Date]])</f>
        <v>2021</v>
      </c>
      <c r="G659">
        <f t="shared" si="10"/>
        <v>2021</v>
      </c>
    </row>
    <row r="660" spans="1:7" x14ac:dyDescent="0.25">
      <c r="A660" s="8">
        <v>44490</v>
      </c>
      <c r="B660" s="9" t="s">
        <v>675</v>
      </c>
      <c r="C660" s="9" t="s">
        <v>6</v>
      </c>
      <c r="D660" s="9">
        <v>1514.8</v>
      </c>
      <c r="E660" s="9" t="s">
        <v>7</v>
      </c>
      <c r="F660" s="12">
        <f>YEAR(Personal_Finance_Dataset[[#This Row],[Date]])</f>
        <v>2021</v>
      </c>
      <c r="G660">
        <f t="shared" si="10"/>
        <v>2021</v>
      </c>
    </row>
    <row r="661" spans="1:7" x14ac:dyDescent="0.25">
      <c r="A661" s="8">
        <v>44491</v>
      </c>
      <c r="B661" s="9" t="s">
        <v>676</v>
      </c>
      <c r="C661" s="9" t="s">
        <v>27</v>
      </c>
      <c r="D661" s="9">
        <v>1350.26</v>
      </c>
      <c r="E661" s="9" t="s">
        <v>7</v>
      </c>
      <c r="F661" s="12">
        <f>YEAR(Personal_Finance_Dataset[[#This Row],[Date]])</f>
        <v>2021</v>
      </c>
      <c r="G661">
        <f t="shared" si="10"/>
        <v>2021</v>
      </c>
    </row>
    <row r="662" spans="1:7" x14ac:dyDescent="0.25">
      <c r="A662" s="8">
        <v>44492</v>
      </c>
      <c r="B662" s="9" t="s">
        <v>677</v>
      </c>
      <c r="C662" s="9" t="s">
        <v>17</v>
      </c>
      <c r="D662" s="9">
        <v>1648.49</v>
      </c>
      <c r="E662" s="9" t="s">
        <v>7</v>
      </c>
      <c r="F662" s="12">
        <f>YEAR(Personal_Finance_Dataset[[#This Row],[Date]])</f>
        <v>2021</v>
      </c>
      <c r="G662">
        <f t="shared" si="10"/>
        <v>2021</v>
      </c>
    </row>
    <row r="663" spans="1:7" x14ac:dyDescent="0.25">
      <c r="A663" s="8">
        <v>44493</v>
      </c>
      <c r="B663" s="9" t="s">
        <v>678</v>
      </c>
      <c r="C663" s="9" t="s">
        <v>25</v>
      </c>
      <c r="D663" s="9">
        <v>318.69</v>
      </c>
      <c r="E663" s="9" t="s">
        <v>7</v>
      </c>
      <c r="F663" s="12">
        <f>YEAR(Personal_Finance_Dataset[[#This Row],[Date]])</f>
        <v>2021</v>
      </c>
      <c r="G663">
        <f t="shared" si="10"/>
        <v>2021</v>
      </c>
    </row>
    <row r="664" spans="1:7" x14ac:dyDescent="0.25">
      <c r="A664" s="8">
        <v>44494</v>
      </c>
      <c r="B664" s="9" t="s">
        <v>679</v>
      </c>
      <c r="C664" s="9" t="s">
        <v>13</v>
      </c>
      <c r="D664" s="9">
        <v>763</v>
      </c>
      <c r="E664" s="9" t="s">
        <v>14</v>
      </c>
      <c r="F664" s="12">
        <f>YEAR(Personal_Finance_Dataset[[#This Row],[Date]])</f>
        <v>2021</v>
      </c>
      <c r="G664">
        <f t="shared" si="10"/>
        <v>2021</v>
      </c>
    </row>
    <row r="665" spans="1:7" x14ac:dyDescent="0.25">
      <c r="A665" s="8">
        <v>44495</v>
      </c>
      <c r="B665" s="9" t="s">
        <v>680</v>
      </c>
      <c r="C665" s="9" t="s">
        <v>17</v>
      </c>
      <c r="D665" s="9">
        <v>1233.7</v>
      </c>
      <c r="E665" s="9" t="s">
        <v>7</v>
      </c>
      <c r="F665" s="12">
        <f>YEAR(Personal_Finance_Dataset[[#This Row],[Date]])</f>
        <v>2021</v>
      </c>
      <c r="G665">
        <f t="shared" si="10"/>
        <v>2021</v>
      </c>
    </row>
    <row r="666" spans="1:7" x14ac:dyDescent="0.25">
      <c r="A666" s="8">
        <v>44496</v>
      </c>
      <c r="B666" s="9" t="s">
        <v>681</v>
      </c>
      <c r="C666" s="9" t="s">
        <v>6</v>
      </c>
      <c r="D666" s="9">
        <v>488.93</v>
      </c>
      <c r="E666" s="9" t="s">
        <v>7</v>
      </c>
      <c r="F666" s="12">
        <f>YEAR(Personal_Finance_Dataset[[#This Row],[Date]])</f>
        <v>2021</v>
      </c>
      <c r="G666">
        <f t="shared" si="10"/>
        <v>2021</v>
      </c>
    </row>
    <row r="667" spans="1:7" x14ac:dyDescent="0.25">
      <c r="A667" s="8">
        <v>44497</v>
      </c>
      <c r="B667" s="9" t="s">
        <v>682</v>
      </c>
      <c r="C667" s="9" t="s">
        <v>13</v>
      </c>
      <c r="D667" s="9">
        <v>4157</v>
      </c>
      <c r="E667" s="9" t="s">
        <v>14</v>
      </c>
      <c r="F667" s="12">
        <f>YEAR(Personal_Finance_Dataset[[#This Row],[Date]])</f>
        <v>2021</v>
      </c>
      <c r="G667">
        <f t="shared" si="10"/>
        <v>2021</v>
      </c>
    </row>
    <row r="668" spans="1:7" x14ac:dyDescent="0.25">
      <c r="A668" s="8">
        <v>44498</v>
      </c>
      <c r="B668" s="9" t="s">
        <v>683</v>
      </c>
      <c r="C668" s="9" t="s">
        <v>6</v>
      </c>
      <c r="D668" s="9">
        <v>497.02</v>
      </c>
      <c r="E668" s="9" t="s">
        <v>7</v>
      </c>
      <c r="F668" s="12">
        <f>YEAR(Personal_Finance_Dataset[[#This Row],[Date]])</f>
        <v>2021</v>
      </c>
      <c r="G668">
        <f t="shared" si="10"/>
        <v>2021</v>
      </c>
    </row>
    <row r="669" spans="1:7" x14ac:dyDescent="0.25">
      <c r="A669" s="8">
        <v>44499</v>
      </c>
      <c r="B669" s="9" t="s">
        <v>684</v>
      </c>
      <c r="C669" s="9" t="s">
        <v>20</v>
      </c>
      <c r="D669" s="9">
        <v>2419</v>
      </c>
      <c r="E669" s="9" t="s">
        <v>14</v>
      </c>
      <c r="F669" s="12">
        <f>YEAR(Personal_Finance_Dataset[[#This Row],[Date]])</f>
        <v>2021</v>
      </c>
      <c r="G669">
        <f t="shared" si="10"/>
        <v>2021</v>
      </c>
    </row>
    <row r="670" spans="1:7" x14ac:dyDescent="0.25">
      <c r="A670" s="8">
        <v>44500</v>
      </c>
      <c r="B670" s="9" t="s">
        <v>685</v>
      </c>
      <c r="C670" s="9" t="s">
        <v>6</v>
      </c>
      <c r="D670" s="9">
        <v>288.87</v>
      </c>
      <c r="E670" s="9" t="s">
        <v>7</v>
      </c>
      <c r="F670" s="12">
        <f>YEAR(Personal_Finance_Dataset[[#This Row],[Date]])</f>
        <v>2021</v>
      </c>
      <c r="G670">
        <f t="shared" si="10"/>
        <v>2021</v>
      </c>
    </row>
    <row r="671" spans="1:7" x14ac:dyDescent="0.25">
      <c r="A671" s="8">
        <v>44501</v>
      </c>
      <c r="B671" s="9" t="s">
        <v>686</v>
      </c>
      <c r="C671" s="9" t="s">
        <v>22</v>
      </c>
      <c r="D671" s="9">
        <v>1633.41</v>
      </c>
      <c r="E671" s="9" t="s">
        <v>7</v>
      </c>
      <c r="F671" s="12">
        <f>YEAR(Personal_Finance_Dataset[[#This Row],[Date]])</f>
        <v>2021</v>
      </c>
      <c r="G671">
        <f t="shared" si="10"/>
        <v>2021</v>
      </c>
    </row>
    <row r="672" spans="1:7" x14ac:dyDescent="0.25">
      <c r="A672" s="8">
        <v>44502</v>
      </c>
      <c r="B672" s="9" t="s">
        <v>687</v>
      </c>
      <c r="C672" s="9" t="s">
        <v>25</v>
      </c>
      <c r="D672" s="9">
        <v>1159.17</v>
      </c>
      <c r="E672" s="9" t="s">
        <v>7</v>
      </c>
      <c r="F672" s="12">
        <f>YEAR(Personal_Finance_Dataset[[#This Row],[Date]])</f>
        <v>2021</v>
      </c>
      <c r="G672">
        <f t="shared" si="10"/>
        <v>2021</v>
      </c>
    </row>
    <row r="673" spans="1:7" x14ac:dyDescent="0.25">
      <c r="A673" s="8">
        <v>44503</v>
      </c>
      <c r="B673" s="9" t="s">
        <v>688</v>
      </c>
      <c r="C673" s="9" t="s">
        <v>25</v>
      </c>
      <c r="D673" s="9">
        <v>481.44</v>
      </c>
      <c r="E673" s="9" t="s">
        <v>7</v>
      </c>
      <c r="F673" s="12">
        <f>YEAR(Personal_Finance_Dataset[[#This Row],[Date]])</f>
        <v>2021</v>
      </c>
      <c r="G673">
        <f t="shared" si="10"/>
        <v>2021</v>
      </c>
    </row>
    <row r="674" spans="1:7" x14ac:dyDescent="0.25">
      <c r="A674" s="8">
        <v>44504</v>
      </c>
      <c r="B674" s="9" t="s">
        <v>689</v>
      </c>
      <c r="C674" s="9" t="s">
        <v>22</v>
      </c>
      <c r="D674" s="9">
        <v>832.98</v>
      </c>
      <c r="E674" s="9" t="s">
        <v>7</v>
      </c>
      <c r="F674" s="12">
        <f>YEAR(Personal_Finance_Dataset[[#This Row],[Date]])</f>
        <v>2021</v>
      </c>
      <c r="G674">
        <f t="shared" si="10"/>
        <v>2021</v>
      </c>
    </row>
    <row r="675" spans="1:7" x14ac:dyDescent="0.25">
      <c r="A675" s="8">
        <v>44505</v>
      </c>
      <c r="B675" s="9" t="s">
        <v>690</v>
      </c>
      <c r="C675" s="9" t="s">
        <v>9</v>
      </c>
      <c r="D675" s="9">
        <v>1255.73</v>
      </c>
      <c r="E675" s="9" t="s">
        <v>7</v>
      </c>
      <c r="F675" s="12">
        <f>YEAR(Personal_Finance_Dataset[[#This Row],[Date]])</f>
        <v>2021</v>
      </c>
      <c r="G675">
        <f t="shared" si="10"/>
        <v>2021</v>
      </c>
    </row>
    <row r="676" spans="1:7" x14ac:dyDescent="0.25">
      <c r="A676" s="8">
        <v>44506</v>
      </c>
      <c r="B676" s="9" t="s">
        <v>691</v>
      </c>
      <c r="C676" s="9" t="s">
        <v>27</v>
      </c>
      <c r="D676" s="9">
        <v>103.3</v>
      </c>
      <c r="E676" s="9" t="s">
        <v>7</v>
      </c>
      <c r="F676" s="12">
        <f>YEAR(Personal_Finance_Dataset[[#This Row],[Date]])</f>
        <v>2021</v>
      </c>
      <c r="G676">
        <f t="shared" si="10"/>
        <v>2021</v>
      </c>
    </row>
    <row r="677" spans="1:7" x14ac:dyDescent="0.25">
      <c r="A677" s="8">
        <v>44507</v>
      </c>
      <c r="B677" s="9" t="s">
        <v>692</v>
      </c>
      <c r="C677" s="9" t="s">
        <v>17</v>
      </c>
      <c r="D677" s="9">
        <v>1573.75</v>
      </c>
      <c r="E677" s="9" t="s">
        <v>7</v>
      </c>
      <c r="F677" s="12">
        <f>YEAR(Personal_Finance_Dataset[[#This Row],[Date]])</f>
        <v>2021</v>
      </c>
      <c r="G677">
        <f t="shared" si="10"/>
        <v>2021</v>
      </c>
    </row>
    <row r="678" spans="1:7" x14ac:dyDescent="0.25">
      <c r="A678" s="8">
        <v>44508</v>
      </c>
      <c r="B678" s="9" t="s">
        <v>693</v>
      </c>
      <c r="C678" s="9" t="s">
        <v>17</v>
      </c>
      <c r="D678" s="9">
        <v>822.44</v>
      </c>
      <c r="E678" s="9" t="s">
        <v>7</v>
      </c>
      <c r="F678" s="12">
        <f>YEAR(Personal_Finance_Dataset[[#This Row],[Date]])</f>
        <v>2021</v>
      </c>
      <c r="G678">
        <f t="shared" si="10"/>
        <v>2021</v>
      </c>
    </row>
    <row r="679" spans="1:7" x14ac:dyDescent="0.25">
      <c r="A679" s="8">
        <v>44509</v>
      </c>
      <c r="B679" s="9" t="s">
        <v>694</v>
      </c>
      <c r="C679" s="9" t="s">
        <v>9</v>
      </c>
      <c r="D679" s="9">
        <v>1511.29</v>
      </c>
      <c r="E679" s="9" t="s">
        <v>7</v>
      </c>
      <c r="F679" s="12">
        <f>YEAR(Personal_Finance_Dataset[[#This Row],[Date]])</f>
        <v>2021</v>
      </c>
      <c r="G679">
        <f t="shared" si="10"/>
        <v>2021</v>
      </c>
    </row>
    <row r="680" spans="1:7" x14ac:dyDescent="0.25">
      <c r="A680" s="8">
        <v>44510</v>
      </c>
      <c r="B680" s="9" t="s">
        <v>695</v>
      </c>
      <c r="C680" s="9" t="s">
        <v>22</v>
      </c>
      <c r="D680" s="9">
        <v>608.47</v>
      </c>
      <c r="E680" s="9" t="s">
        <v>7</v>
      </c>
      <c r="F680" s="12">
        <f>YEAR(Personal_Finance_Dataset[[#This Row],[Date]])</f>
        <v>2021</v>
      </c>
      <c r="G680">
        <f t="shared" si="10"/>
        <v>2021</v>
      </c>
    </row>
    <row r="681" spans="1:7" x14ac:dyDescent="0.25">
      <c r="A681" s="8">
        <v>44511</v>
      </c>
      <c r="B681" s="9" t="s">
        <v>696</v>
      </c>
      <c r="C681" s="9" t="s">
        <v>27</v>
      </c>
      <c r="D681" s="9">
        <v>1830.33</v>
      </c>
      <c r="E681" s="9" t="s">
        <v>7</v>
      </c>
      <c r="F681" s="12">
        <f>YEAR(Personal_Finance_Dataset[[#This Row],[Date]])</f>
        <v>2021</v>
      </c>
      <c r="G681">
        <f t="shared" si="10"/>
        <v>2021</v>
      </c>
    </row>
    <row r="682" spans="1:7" x14ac:dyDescent="0.25">
      <c r="A682" s="8">
        <v>44512</v>
      </c>
      <c r="B682" s="9" t="s">
        <v>697</v>
      </c>
      <c r="C682" s="9" t="s">
        <v>17</v>
      </c>
      <c r="D682" s="9">
        <v>1119</v>
      </c>
      <c r="E682" s="9" t="s">
        <v>7</v>
      </c>
      <c r="F682" s="12">
        <f>YEAR(Personal_Finance_Dataset[[#This Row],[Date]])</f>
        <v>2021</v>
      </c>
      <c r="G682">
        <f t="shared" si="10"/>
        <v>2021</v>
      </c>
    </row>
    <row r="683" spans="1:7" x14ac:dyDescent="0.25">
      <c r="A683" s="8">
        <v>44513</v>
      </c>
      <c r="B683" s="9" t="s">
        <v>698</v>
      </c>
      <c r="C683" s="9" t="s">
        <v>13</v>
      </c>
      <c r="D683" s="9">
        <v>2588</v>
      </c>
      <c r="E683" s="9" t="s">
        <v>14</v>
      </c>
      <c r="F683" s="12">
        <f>YEAR(Personal_Finance_Dataset[[#This Row],[Date]])</f>
        <v>2021</v>
      </c>
      <c r="G683">
        <f t="shared" si="10"/>
        <v>2021</v>
      </c>
    </row>
    <row r="684" spans="1:7" x14ac:dyDescent="0.25">
      <c r="A684" s="8">
        <v>44514</v>
      </c>
      <c r="B684" s="9" t="s">
        <v>699</v>
      </c>
      <c r="C684" s="9" t="s">
        <v>11</v>
      </c>
      <c r="D684" s="9">
        <v>1845.23</v>
      </c>
      <c r="E684" s="9" t="s">
        <v>7</v>
      </c>
      <c r="F684" s="12">
        <f>YEAR(Personal_Finance_Dataset[[#This Row],[Date]])</f>
        <v>2021</v>
      </c>
      <c r="G684">
        <f t="shared" si="10"/>
        <v>2021</v>
      </c>
    </row>
    <row r="685" spans="1:7" x14ac:dyDescent="0.25">
      <c r="A685" s="8">
        <v>44515</v>
      </c>
      <c r="B685" s="9" t="s">
        <v>700</v>
      </c>
      <c r="C685" s="9" t="s">
        <v>11</v>
      </c>
      <c r="D685" s="9">
        <v>1075.9100000000001</v>
      </c>
      <c r="E685" s="9" t="s">
        <v>7</v>
      </c>
      <c r="F685" s="12">
        <f>YEAR(Personal_Finance_Dataset[[#This Row],[Date]])</f>
        <v>2021</v>
      </c>
      <c r="G685">
        <f t="shared" si="10"/>
        <v>2021</v>
      </c>
    </row>
    <row r="686" spans="1:7" x14ac:dyDescent="0.25">
      <c r="A686" s="8">
        <v>44516</v>
      </c>
      <c r="B686" s="9" t="s">
        <v>701</v>
      </c>
      <c r="C686" s="9" t="s">
        <v>6</v>
      </c>
      <c r="D686" s="9">
        <v>544.24</v>
      </c>
      <c r="E686" s="9" t="s">
        <v>7</v>
      </c>
      <c r="F686" s="12">
        <f>YEAR(Personal_Finance_Dataset[[#This Row],[Date]])</f>
        <v>2021</v>
      </c>
      <c r="G686">
        <f t="shared" si="10"/>
        <v>2021</v>
      </c>
    </row>
    <row r="687" spans="1:7" x14ac:dyDescent="0.25">
      <c r="A687" s="8">
        <v>44517</v>
      </c>
      <c r="B687" s="9" t="s">
        <v>702</v>
      </c>
      <c r="C687" s="9" t="s">
        <v>6</v>
      </c>
      <c r="D687" s="9">
        <v>1748.5</v>
      </c>
      <c r="E687" s="9" t="s">
        <v>7</v>
      </c>
      <c r="F687" s="12">
        <f>YEAR(Personal_Finance_Dataset[[#This Row],[Date]])</f>
        <v>2021</v>
      </c>
      <c r="G687">
        <f t="shared" si="10"/>
        <v>2021</v>
      </c>
    </row>
    <row r="688" spans="1:7" x14ac:dyDescent="0.25">
      <c r="A688" s="8">
        <v>44518</v>
      </c>
      <c r="B688" s="9" t="s">
        <v>703</v>
      </c>
      <c r="C688" s="9" t="s">
        <v>13</v>
      </c>
      <c r="D688" s="9">
        <v>4427</v>
      </c>
      <c r="E688" s="9" t="s">
        <v>14</v>
      </c>
      <c r="F688" s="12">
        <f>YEAR(Personal_Finance_Dataset[[#This Row],[Date]])</f>
        <v>2021</v>
      </c>
      <c r="G688">
        <f t="shared" si="10"/>
        <v>2021</v>
      </c>
    </row>
    <row r="689" spans="1:7" x14ac:dyDescent="0.25">
      <c r="A689" s="8">
        <v>44519</v>
      </c>
      <c r="B689" s="9" t="s">
        <v>704</v>
      </c>
      <c r="C689" s="9" t="s">
        <v>25</v>
      </c>
      <c r="D689" s="9">
        <v>613.34</v>
      </c>
      <c r="E689" s="9" t="s">
        <v>7</v>
      </c>
      <c r="F689" s="12">
        <f>YEAR(Personal_Finance_Dataset[[#This Row],[Date]])</f>
        <v>2021</v>
      </c>
      <c r="G689">
        <f t="shared" si="10"/>
        <v>2021</v>
      </c>
    </row>
    <row r="690" spans="1:7" x14ac:dyDescent="0.25">
      <c r="A690" s="8">
        <v>44520</v>
      </c>
      <c r="B690" s="9" t="s">
        <v>705</v>
      </c>
      <c r="C690" s="9" t="s">
        <v>22</v>
      </c>
      <c r="D690" s="9">
        <v>1874.95</v>
      </c>
      <c r="E690" s="9" t="s">
        <v>7</v>
      </c>
      <c r="F690" s="12">
        <f>YEAR(Personal_Finance_Dataset[[#This Row],[Date]])</f>
        <v>2021</v>
      </c>
      <c r="G690">
        <f t="shared" si="10"/>
        <v>2021</v>
      </c>
    </row>
    <row r="691" spans="1:7" x14ac:dyDescent="0.25">
      <c r="A691" s="8">
        <v>44521</v>
      </c>
      <c r="B691" s="9" t="s">
        <v>706</v>
      </c>
      <c r="C691" s="9" t="s">
        <v>11</v>
      </c>
      <c r="D691" s="9">
        <v>1496.29</v>
      </c>
      <c r="E691" s="9" t="s">
        <v>7</v>
      </c>
      <c r="F691" s="12">
        <f>YEAR(Personal_Finance_Dataset[[#This Row],[Date]])</f>
        <v>2021</v>
      </c>
      <c r="G691">
        <f t="shared" si="10"/>
        <v>2021</v>
      </c>
    </row>
    <row r="692" spans="1:7" x14ac:dyDescent="0.25">
      <c r="A692" s="8">
        <v>44522</v>
      </c>
      <c r="B692" s="9" t="s">
        <v>707</v>
      </c>
      <c r="C692" s="9" t="s">
        <v>22</v>
      </c>
      <c r="D692" s="9">
        <v>1394.3</v>
      </c>
      <c r="E692" s="9" t="s">
        <v>7</v>
      </c>
      <c r="F692" s="12">
        <f>YEAR(Personal_Finance_Dataset[[#This Row],[Date]])</f>
        <v>2021</v>
      </c>
      <c r="G692">
        <f t="shared" si="10"/>
        <v>2021</v>
      </c>
    </row>
    <row r="693" spans="1:7" x14ac:dyDescent="0.25">
      <c r="A693" s="8">
        <v>44523</v>
      </c>
      <c r="B693" s="9" t="s">
        <v>708</v>
      </c>
      <c r="C693" s="9" t="s">
        <v>17</v>
      </c>
      <c r="D693" s="9">
        <v>1831.1</v>
      </c>
      <c r="E693" s="9" t="s">
        <v>7</v>
      </c>
      <c r="F693" s="12">
        <f>YEAR(Personal_Finance_Dataset[[#This Row],[Date]])</f>
        <v>2021</v>
      </c>
      <c r="G693">
        <f t="shared" si="10"/>
        <v>2021</v>
      </c>
    </row>
    <row r="694" spans="1:7" x14ac:dyDescent="0.25">
      <c r="A694" s="8">
        <v>44524</v>
      </c>
      <c r="B694" s="9" t="s">
        <v>709</v>
      </c>
      <c r="C694" s="9" t="s">
        <v>35</v>
      </c>
      <c r="D694" s="9">
        <v>767.52</v>
      </c>
      <c r="E694" s="9" t="s">
        <v>7</v>
      </c>
      <c r="F694" s="12">
        <f>YEAR(Personal_Finance_Dataset[[#This Row],[Date]])</f>
        <v>2021</v>
      </c>
      <c r="G694">
        <f t="shared" si="10"/>
        <v>2021</v>
      </c>
    </row>
    <row r="695" spans="1:7" x14ac:dyDescent="0.25">
      <c r="A695" s="8">
        <v>44525</v>
      </c>
      <c r="B695" s="9" t="s">
        <v>710</v>
      </c>
      <c r="C695" s="9" t="s">
        <v>25</v>
      </c>
      <c r="D695" s="9">
        <v>623.76</v>
      </c>
      <c r="E695" s="9" t="s">
        <v>7</v>
      </c>
      <c r="F695" s="12">
        <f>YEAR(Personal_Finance_Dataset[[#This Row],[Date]])</f>
        <v>2021</v>
      </c>
      <c r="G695">
        <f t="shared" si="10"/>
        <v>2021</v>
      </c>
    </row>
    <row r="696" spans="1:7" x14ac:dyDescent="0.25">
      <c r="A696" s="8">
        <v>44526</v>
      </c>
      <c r="B696" s="9" t="s">
        <v>711</v>
      </c>
      <c r="C696" s="9" t="s">
        <v>27</v>
      </c>
      <c r="D696" s="9">
        <v>937.35</v>
      </c>
      <c r="E696" s="9" t="s">
        <v>7</v>
      </c>
      <c r="F696" s="12">
        <f>YEAR(Personal_Finance_Dataset[[#This Row],[Date]])</f>
        <v>2021</v>
      </c>
      <c r="G696">
        <f t="shared" si="10"/>
        <v>2021</v>
      </c>
    </row>
    <row r="697" spans="1:7" x14ac:dyDescent="0.25">
      <c r="A697" s="8">
        <v>44527</v>
      </c>
      <c r="B697" s="9" t="s">
        <v>712</v>
      </c>
      <c r="C697" s="9" t="s">
        <v>27</v>
      </c>
      <c r="D697" s="9">
        <v>1525.64</v>
      </c>
      <c r="E697" s="9" t="s">
        <v>7</v>
      </c>
      <c r="F697" s="12">
        <f>YEAR(Personal_Finance_Dataset[[#This Row],[Date]])</f>
        <v>2021</v>
      </c>
      <c r="G697">
        <f t="shared" si="10"/>
        <v>2021</v>
      </c>
    </row>
    <row r="698" spans="1:7" x14ac:dyDescent="0.25">
      <c r="A698" s="8">
        <v>44528</v>
      </c>
      <c r="B698" s="9" t="s">
        <v>713</v>
      </c>
      <c r="C698" s="9" t="s">
        <v>22</v>
      </c>
      <c r="D698" s="9">
        <v>747.7</v>
      </c>
      <c r="E698" s="9" t="s">
        <v>7</v>
      </c>
      <c r="F698" s="12">
        <f>YEAR(Personal_Finance_Dataset[[#This Row],[Date]])</f>
        <v>2021</v>
      </c>
      <c r="G698">
        <f t="shared" si="10"/>
        <v>2021</v>
      </c>
    </row>
    <row r="699" spans="1:7" x14ac:dyDescent="0.25">
      <c r="A699" s="8">
        <v>44529</v>
      </c>
      <c r="B699" s="9" t="s">
        <v>714</v>
      </c>
      <c r="C699" s="9" t="s">
        <v>22</v>
      </c>
      <c r="D699" s="9">
        <v>1485.09</v>
      </c>
      <c r="E699" s="9" t="s">
        <v>7</v>
      </c>
      <c r="F699" s="12">
        <f>YEAR(Personal_Finance_Dataset[[#This Row],[Date]])</f>
        <v>2021</v>
      </c>
      <c r="G699">
        <f t="shared" si="10"/>
        <v>2021</v>
      </c>
    </row>
    <row r="700" spans="1:7" x14ac:dyDescent="0.25">
      <c r="A700" s="8">
        <v>44530</v>
      </c>
      <c r="B700" s="9" t="s">
        <v>715</v>
      </c>
      <c r="C700" s="9" t="s">
        <v>20</v>
      </c>
      <c r="D700" s="9">
        <v>2918</v>
      </c>
      <c r="E700" s="9" t="s">
        <v>14</v>
      </c>
      <c r="F700" s="12">
        <f>YEAR(Personal_Finance_Dataset[[#This Row],[Date]])</f>
        <v>2021</v>
      </c>
      <c r="G700">
        <f t="shared" si="10"/>
        <v>2021</v>
      </c>
    </row>
    <row r="701" spans="1:7" x14ac:dyDescent="0.25">
      <c r="A701" s="8">
        <v>44531</v>
      </c>
      <c r="B701" s="9" t="s">
        <v>716</v>
      </c>
      <c r="C701" s="9" t="s">
        <v>20</v>
      </c>
      <c r="D701" s="9">
        <v>2384</v>
      </c>
      <c r="E701" s="9" t="s">
        <v>14</v>
      </c>
      <c r="F701" s="12">
        <f>YEAR(Personal_Finance_Dataset[[#This Row],[Date]])</f>
        <v>2021</v>
      </c>
      <c r="G701">
        <f t="shared" si="10"/>
        <v>2021</v>
      </c>
    </row>
    <row r="702" spans="1:7" x14ac:dyDescent="0.25">
      <c r="A702" s="8">
        <v>44532</v>
      </c>
      <c r="B702" s="9" t="s">
        <v>717</v>
      </c>
      <c r="C702" s="9" t="s">
        <v>22</v>
      </c>
      <c r="D702" s="9">
        <v>1003.61</v>
      </c>
      <c r="E702" s="9" t="s">
        <v>7</v>
      </c>
      <c r="F702" s="12">
        <f>YEAR(Personal_Finance_Dataset[[#This Row],[Date]])</f>
        <v>2021</v>
      </c>
      <c r="G702">
        <f t="shared" si="10"/>
        <v>2021</v>
      </c>
    </row>
    <row r="703" spans="1:7" x14ac:dyDescent="0.25">
      <c r="A703" s="8">
        <v>44533</v>
      </c>
      <c r="B703" s="9" t="s">
        <v>718</v>
      </c>
      <c r="C703" s="9" t="s">
        <v>25</v>
      </c>
      <c r="D703" s="9">
        <v>522.08000000000004</v>
      </c>
      <c r="E703" s="9" t="s">
        <v>7</v>
      </c>
      <c r="F703" s="12">
        <f>YEAR(Personal_Finance_Dataset[[#This Row],[Date]])</f>
        <v>2021</v>
      </c>
      <c r="G703">
        <f t="shared" si="10"/>
        <v>2021</v>
      </c>
    </row>
    <row r="704" spans="1:7" x14ac:dyDescent="0.25">
      <c r="A704" s="8">
        <v>44534</v>
      </c>
      <c r="B704" s="9" t="s">
        <v>719</v>
      </c>
      <c r="C704" s="9" t="s">
        <v>27</v>
      </c>
      <c r="D704" s="9">
        <v>927.05</v>
      </c>
      <c r="E704" s="9" t="s">
        <v>7</v>
      </c>
      <c r="F704" s="12">
        <f>YEAR(Personal_Finance_Dataset[[#This Row],[Date]])</f>
        <v>2021</v>
      </c>
      <c r="G704">
        <f t="shared" si="10"/>
        <v>2021</v>
      </c>
    </row>
    <row r="705" spans="1:7" x14ac:dyDescent="0.25">
      <c r="A705" s="8">
        <v>44535</v>
      </c>
      <c r="B705" s="9" t="s">
        <v>720</v>
      </c>
      <c r="C705" s="9" t="s">
        <v>25</v>
      </c>
      <c r="D705" s="9">
        <v>346.84</v>
      </c>
      <c r="E705" s="9" t="s">
        <v>7</v>
      </c>
      <c r="F705" s="12">
        <f>YEAR(Personal_Finance_Dataset[[#This Row],[Date]])</f>
        <v>2021</v>
      </c>
      <c r="G705">
        <f t="shared" si="10"/>
        <v>2021</v>
      </c>
    </row>
    <row r="706" spans="1:7" x14ac:dyDescent="0.25">
      <c r="A706" s="8">
        <v>44536</v>
      </c>
      <c r="B706" s="9" t="s">
        <v>721</v>
      </c>
      <c r="C706" s="9" t="s">
        <v>27</v>
      </c>
      <c r="D706" s="9">
        <v>376.26</v>
      </c>
      <c r="E706" s="9" t="s">
        <v>7</v>
      </c>
      <c r="F706" s="12">
        <f>YEAR(Personal_Finance_Dataset[[#This Row],[Date]])</f>
        <v>2021</v>
      </c>
      <c r="G706">
        <f t="shared" ref="G706:G769" si="11">YEAR(A706)</f>
        <v>2021</v>
      </c>
    </row>
    <row r="707" spans="1:7" x14ac:dyDescent="0.25">
      <c r="A707" s="8">
        <v>44537</v>
      </c>
      <c r="B707" s="9" t="s">
        <v>722</v>
      </c>
      <c r="C707" s="9" t="s">
        <v>6</v>
      </c>
      <c r="D707" s="9">
        <v>1052.6500000000001</v>
      </c>
      <c r="E707" s="9" t="s">
        <v>7</v>
      </c>
      <c r="F707" s="12">
        <f>YEAR(Personal_Finance_Dataset[[#This Row],[Date]])</f>
        <v>2021</v>
      </c>
      <c r="G707">
        <f t="shared" si="11"/>
        <v>2021</v>
      </c>
    </row>
    <row r="708" spans="1:7" x14ac:dyDescent="0.25">
      <c r="A708" s="8">
        <v>44538</v>
      </c>
      <c r="B708" s="9" t="s">
        <v>723</v>
      </c>
      <c r="C708" s="9" t="s">
        <v>11</v>
      </c>
      <c r="D708" s="9">
        <v>1890.92</v>
      </c>
      <c r="E708" s="9" t="s">
        <v>7</v>
      </c>
      <c r="F708" s="12">
        <f>YEAR(Personal_Finance_Dataset[[#This Row],[Date]])</f>
        <v>2021</v>
      </c>
      <c r="G708">
        <f t="shared" si="11"/>
        <v>2021</v>
      </c>
    </row>
    <row r="709" spans="1:7" x14ac:dyDescent="0.25">
      <c r="A709" s="8">
        <v>44539</v>
      </c>
      <c r="B709" s="9" t="s">
        <v>724</v>
      </c>
      <c r="C709" s="9" t="s">
        <v>6</v>
      </c>
      <c r="D709" s="9">
        <v>830.66</v>
      </c>
      <c r="E709" s="9" t="s">
        <v>7</v>
      </c>
      <c r="F709" s="12">
        <f>YEAR(Personal_Finance_Dataset[[#This Row],[Date]])</f>
        <v>2021</v>
      </c>
      <c r="G709">
        <f t="shared" si="11"/>
        <v>2021</v>
      </c>
    </row>
    <row r="710" spans="1:7" x14ac:dyDescent="0.25">
      <c r="A710" s="8">
        <v>44540</v>
      </c>
      <c r="B710" s="9" t="s">
        <v>725</v>
      </c>
      <c r="C710" s="9" t="s">
        <v>22</v>
      </c>
      <c r="D710" s="9">
        <v>145.26</v>
      </c>
      <c r="E710" s="9" t="s">
        <v>7</v>
      </c>
      <c r="F710" s="12">
        <f>YEAR(Personal_Finance_Dataset[[#This Row],[Date]])</f>
        <v>2021</v>
      </c>
      <c r="G710">
        <f t="shared" si="11"/>
        <v>2021</v>
      </c>
    </row>
    <row r="711" spans="1:7" x14ac:dyDescent="0.25">
      <c r="A711" s="8">
        <v>44541</v>
      </c>
      <c r="B711" s="9" t="s">
        <v>726</v>
      </c>
      <c r="C711" s="9" t="s">
        <v>13</v>
      </c>
      <c r="D711" s="9">
        <v>4642</v>
      </c>
      <c r="E711" s="9" t="s">
        <v>14</v>
      </c>
      <c r="F711" s="12">
        <f>YEAR(Personal_Finance_Dataset[[#This Row],[Date]])</f>
        <v>2021</v>
      </c>
      <c r="G711">
        <f t="shared" si="11"/>
        <v>2021</v>
      </c>
    </row>
    <row r="712" spans="1:7" x14ac:dyDescent="0.25">
      <c r="A712" s="8">
        <v>44542</v>
      </c>
      <c r="B712" s="9" t="s">
        <v>727</v>
      </c>
      <c r="C712" s="9" t="s">
        <v>6</v>
      </c>
      <c r="D712" s="9">
        <v>1239.49</v>
      </c>
      <c r="E712" s="9" t="s">
        <v>7</v>
      </c>
      <c r="F712" s="12">
        <f>YEAR(Personal_Finance_Dataset[[#This Row],[Date]])</f>
        <v>2021</v>
      </c>
      <c r="G712">
        <f t="shared" si="11"/>
        <v>2021</v>
      </c>
    </row>
    <row r="713" spans="1:7" x14ac:dyDescent="0.25">
      <c r="A713" s="8">
        <v>44543</v>
      </c>
      <c r="B713" s="9" t="s">
        <v>728</v>
      </c>
      <c r="C713" s="9" t="s">
        <v>27</v>
      </c>
      <c r="D713" s="9">
        <v>1321.98</v>
      </c>
      <c r="E713" s="9" t="s">
        <v>7</v>
      </c>
      <c r="F713" s="12">
        <f>YEAR(Personal_Finance_Dataset[[#This Row],[Date]])</f>
        <v>2021</v>
      </c>
      <c r="G713">
        <f t="shared" si="11"/>
        <v>2021</v>
      </c>
    </row>
    <row r="714" spans="1:7" x14ac:dyDescent="0.25">
      <c r="A714" s="8">
        <v>44544</v>
      </c>
      <c r="B714" s="9" t="s">
        <v>729</v>
      </c>
      <c r="C714" s="9" t="s">
        <v>20</v>
      </c>
      <c r="D714" s="9">
        <v>597</v>
      </c>
      <c r="E714" s="9" t="s">
        <v>14</v>
      </c>
      <c r="F714" s="12">
        <f>YEAR(Personal_Finance_Dataset[[#This Row],[Date]])</f>
        <v>2021</v>
      </c>
      <c r="G714">
        <f t="shared" si="11"/>
        <v>2021</v>
      </c>
    </row>
    <row r="715" spans="1:7" x14ac:dyDescent="0.25">
      <c r="A715" s="8">
        <v>44545</v>
      </c>
      <c r="B715" s="9" t="s">
        <v>730</v>
      </c>
      <c r="C715" s="9" t="s">
        <v>20</v>
      </c>
      <c r="D715" s="9">
        <v>4888</v>
      </c>
      <c r="E715" s="9" t="s">
        <v>14</v>
      </c>
      <c r="F715" s="12">
        <f>YEAR(Personal_Finance_Dataset[[#This Row],[Date]])</f>
        <v>2021</v>
      </c>
      <c r="G715">
        <f t="shared" si="11"/>
        <v>2021</v>
      </c>
    </row>
    <row r="716" spans="1:7" x14ac:dyDescent="0.25">
      <c r="A716" s="8">
        <v>44546</v>
      </c>
      <c r="B716" s="9" t="s">
        <v>731</v>
      </c>
      <c r="C716" s="9" t="s">
        <v>6</v>
      </c>
      <c r="D716" s="9">
        <v>1009.41</v>
      </c>
      <c r="E716" s="9" t="s">
        <v>7</v>
      </c>
      <c r="F716" s="12">
        <f>YEAR(Personal_Finance_Dataset[[#This Row],[Date]])</f>
        <v>2021</v>
      </c>
      <c r="G716">
        <f t="shared" si="11"/>
        <v>2021</v>
      </c>
    </row>
    <row r="717" spans="1:7" x14ac:dyDescent="0.25">
      <c r="A717" s="8">
        <v>44547</v>
      </c>
      <c r="B717" s="9" t="s">
        <v>732</v>
      </c>
      <c r="C717" s="9" t="s">
        <v>17</v>
      </c>
      <c r="D717" s="9">
        <v>1614.27</v>
      </c>
      <c r="E717" s="9" t="s">
        <v>7</v>
      </c>
      <c r="F717" s="12">
        <f>YEAR(Personal_Finance_Dataset[[#This Row],[Date]])</f>
        <v>2021</v>
      </c>
      <c r="G717">
        <f t="shared" si="11"/>
        <v>2021</v>
      </c>
    </row>
    <row r="718" spans="1:7" x14ac:dyDescent="0.25">
      <c r="A718" s="8">
        <v>44548</v>
      </c>
      <c r="B718" s="9" t="s">
        <v>733</v>
      </c>
      <c r="C718" s="9" t="s">
        <v>11</v>
      </c>
      <c r="D718" s="9">
        <v>1836.92</v>
      </c>
      <c r="E718" s="9" t="s">
        <v>7</v>
      </c>
      <c r="F718" s="12">
        <f>YEAR(Personal_Finance_Dataset[[#This Row],[Date]])</f>
        <v>2021</v>
      </c>
      <c r="G718">
        <f t="shared" si="11"/>
        <v>2021</v>
      </c>
    </row>
    <row r="719" spans="1:7" x14ac:dyDescent="0.25">
      <c r="A719" s="8">
        <v>44549</v>
      </c>
      <c r="B719" s="9" t="s">
        <v>734</v>
      </c>
      <c r="C719" s="9" t="s">
        <v>22</v>
      </c>
      <c r="D719" s="9">
        <v>391.94</v>
      </c>
      <c r="E719" s="9" t="s">
        <v>7</v>
      </c>
      <c r="F719" s="12">
        <f>YEAR(Personal_Finance_Dataset[[#This Row],[Date]])</f>
        <v>2021</v>
      </c>
      <c r="G719">
        <f t="shared" si="11"/>
        <v>2021</v>
      </c>
    </row>
    <row r="720" spans="1:7" x14ac:dyDescent="0.25">
      <c r="A720" s="8">
        <v>44550</v>
      </c>
      <c r="B720" s="9" t="s">
        <v>735</v>
      </c>
      <c r="C720" s="9" t="s">
        <v>25</v>
      </c>
      <c r="D720" s="9">
        <v>541.98</v>
      </c>
      <c r="E720" s="9" t="s">
        <v>7</v>
      </c>
      <c r="F720" s="12">
        <f>YEAR(Personal_Finance_Dataset[[#This Row],[Date]])</f>
        <v>2021</v>
      </c>
      <c r="G720">
        <f t="shared" si="11"/>
        <v>2021</v>
      </c>
    </row>
    <row r="721" spans="1:7" x14ac:dyDescent="0.25">
      <c r="A721" s="8">
        <v>44551</v>
      </c>
      <c r="B721" s="9" t="s">
        <v>736</v>
      </c>
      <c r="C721" s="9" t="s">
        <v>25</v>
      </c>
      <c r="D721" s="9">
        <v>1919</v>
      </c>
      <c r="E721" s="9" t="s">
        <v>7</v>
      </c>
      <c r="F721" s="12">
        <f>YEAR(Personal_Finance_Dataset[[#This Row],[Date]])</f>
        <v>2021</v>
      </c>
      <c r="G721">
        <f t="shared" si="11"/>
        <v>2021</v>
      </c>
    </row>
    <row r="722" spans="1:7" x14ac:dyDescent="0.25">
      <c r="A722" s="8">
        <v>44552</v>
      </c>
      <c r="B722" s="9" t="s">
        <v>737</v>
      </c>
      <c r="C722" s="9" t="s">
        <v>22</v>
      </c>
      <c r="D722" s="9">
        <v>1980.56</v>
      </c>
      <c r="E722" s="9" t="s">
        <v>7</v>
      </c>
      <c r="F722" s="12">
        <f>YEAR(Personal_Finance_Dataset[[#This Row],[Date]])</f>
        <v>2021</v>
      </c>
      <c r="G722">
        <f t="shared" si="11"/>
        <v>2021</v>
      </c>
    </row>
    <row r="723" spans="1:7" x14ac:dyDescent="0.25">
      <c r="A723" s="8">
        <v>44553</v>
      </c>
      <c r="B723" s="9" t="s">
        <v>738</v>
      </c>
      <c r="C723" s="9" t="s">
        <v>11</v>
      </c>
      <c r="D723" s="9">
        <v>1310.93</v>
      </c>
      <c r="E723" s="9" t="s">
        <v>7</v>
      </c>
      <c r="F723" s="12">
        <f>YEAR(Personal_Finance_Dataset[[#This Row],[Date]])</f>
        <v>2021</v>
      </c>
      <c r="G723">
        <f t="shared" si="11"/>
        <v>2021</v>
      </c>
    </row>
    <row r="724" spans="1:7" x14ac:dyDescent="0.25">
      <c r="A724" s="8">
        <v>44554</v>
      </c>
      <c r="B724" s="9" t="s">
        <v>739</v>
      </c>
      <c r="C724" s="9" t="s">
        <v>6</v>
      </c>
      <c r="D724" s="9">
        <v>196.07</v>
      </c>
      <c r="E724" s="9" t="s">
        <v>7</v>
      </c>
      <c r="F724" s="12">
        <f>YEAR(Personal_Finance_Dataset[[#This Row],[Date]])</f>
        <v>2021</v>
      </c>
      <c r="G724">
        <f t="shared" si="11"/>
        <v>2021</v>
      </c>
    </row>
    <row r="725" spans="1:7" x14ac:dyDescent="0.25">
      <c r="A725" s="8">
        <v>44555</v>
      </c>
      <c r="B725" s="9" t="s">
        <v>740</v>
      </c>
      <c r="C725" s="9" t="s">
        <v>27</v>
      </c>
      <c r="D725" s="9">
        <v>121.67</v>
      </c>
      <c r="E725" s="9" t="s">
        <v>7</v>
      </c>
      <c r="F725" s="12">
        <f>YEAR(Personal_Finance_Dataset[[#This Row],[Date]])</f>
        <v>2021</v>
      </c>
      <c r="G725">
        <f t="shared" si="11"/>
        <v>2021</v>
      </c>
    </row>
    <row r="726" spans="1:7" x14ac:dyDescent="0.25">
      <c r="A726" s="8">
        <v>44556</v>
      </c>
      <c r="B726" s="9" t="s">
        <v>741</v>
      </c>
      <c r="C726" s="9" t="s">
        <v>13</v>
      </c>
      <c r="D726" s="9">
        <v>1177</v>
      </c>
      <c r="E726" s="9" t="s">
        <v>14</v>
      </c>
      <c r="F726" s="12">
        <f>YEAR(Personal_Finance_Dataset[[#This Row],[Date]])</f>
        <v>2021</v>
      </c>
      <c r="G726">
        <f t="shared" si="11"/>
        <v>2021</v>
      </c>
    </row>
    <row r="727" spans="1:7" x14ac:dyDescent="0.25">
      <c r="A727" s="8">
        <v>44557</v>
      </c>
      <c r="B727" s="9" t="s">
        <v>742</v>
      </c>
      <c r="C727" s="9" t="s">
        <v>17</v>
      </c>
      <c r="D727" s="9">
        <v>1293.3699999999999</v>
      </c>
      <c r="E727" s="9" t="s">
        <v>7</v>
      </c>
      <c r="F727" s="12">
        <f>YEAR(Personal_Finance_Dataset[[#This Row],[Date]])</f>
        <v>2021</v>
      </c>
      <c r="G727">
        <f t="shared" si="11"/>
        <v>2021</v>
      </c>
    </row>
    <row r="728" spans="1:7" x14ac:dyDescent="0.25">
      <c r="A728" s="8">
        <v>44558</v>
      </c>
      <c r="B728" s="9" t="s">
        <v>743</v>
      </c>
      <c r="C728" s="9" t="s">
        <v>11</v>
      </c>
      <c r="D728" s="9">
        <v>1790.63</v>
      </c>
      <c r="E728" s="9" t="s">
        <v>7</v>
      </c>
      <c r="F728" s="12">
        <f>YEAR(Personal_Finance_Dataset[[#This Row],[Date]])</f>
        <v>2021</v>
      </c>
      <c r="G728">
        <f t="shared" si="11"/>
        <v>2021</v>
      </c>
    </row>
    <row r="729" spans="1:7" x14ac:dyDescent="0.25">
      <c r="A729" s="8">
        <v>44559</v>
      </c>
      <c r="B729" s="9" t="s">
        <v>744</v>
      </c>
      <c r="C729" s="9" t="s">
        <v>22</v>
      </c>
      <c r="D729" s="9">
        <v>430.72</v>
      </c>
      <c r="E729" s="9" t="s">
        <v>7</v>
      </c>
      <c r="F729" s="12">
        <f>YEAR(Personal_Finance_Dataset[[#This Row],[Date]])</f>
        <v>2021</v>
      </c>
      <c r="G729">
        <f t="shared" si="11"/>
        <v>2021</v>
      </c>
    </row>
    <row r="730" spans="1:7" x14ac:dyDescent="0.25">
      <c r="A730" s="8">
        <v>44560</v>
      </c>
      <c r="B730" s="9" t="s">
        <v>745</v>
      </c>
      <c r="C730" s="9" t="s">
        <v>27</v>
      </c>
      <c r="D730" s="9">
        <v>549.48</v>
      </c>
      <c r="E730" s="9" t="s">
        <v>7</v>
      </c>
      <c r="F730" s="12">
        <f>YEAR(Personal_Finance_Dataset[[#This Row],[Date]])</f>
        <v>2021</v>
      </c>
      <c r="G730">
        <f t="shared" si="11"/>
        <v>2021</v>
      </c>
    </row>
    <row r="731" spans="1:7" x14ac:dyDescent="0.25">
      <c r="A731" s="8">
        <v>44561</v>
      </c>
      <c r="B731" s="9" t="s">
        <v>746</v>
      </c>
      <c r="C731" s="9" t="s">
        <v>35</v>
      </c>
      <c r="D731" s="9">
        <v>1799.63</v>
      </c>
      <c r="E731" s="9" t="s">
        <v>7</v>
      </c>
      <c r="F731" s="12">
        <f>YEAR(Personal_Finance_Dataset[[#This Row],[Date]])</f>
        <v>2021</v>
      </c>
      <c r="G731">
        <f t="shared" si="11"/>
        <v>2021</v>
      </c>
    </row>
    <row r="732" spans="1:7" x14ac:dyDescent="0.25">
      <c r="A732" s="8">
        <v>44562</v>
      </c>
      <c r="B732" s="9" t="s">
        <v>747</v>
      </c>
      <c r="C732" s="9" t="s">
        <v>6</v>
      </c>
      <c r="D732" s="9">
        <v>366.92</v>
      </c>
      <c r="E732" s="9" t="s">
        <v>7</v>
      </c>
      <c r="F732" s="12">
        <f>YEAR(Personal_Finance_Dataset[[#This Row],[Date]])</f>
        <v>2022</v>
      </c>
      <c r="G732">
        <f t="shared" si="11"/>
        <v>2022</v>
      </c>
    </row>
    <row r="733" spans="1:7" x14ac:dyDescent="0.25">
      <c r="A733" s="8">
        <v>44563</v>
      </c>
      <c r="B733" s="9" t="s">
        <v>748</v>
      </c>
      <c r="C733" s="9" t="s">
        <v>6</v>
      </c>
      <c r="D733" s="9">
        <v>1923.32</v>
      </c>
      <c r="E733" s="9" t="s">
        <v>7</v>
      </c>
      <c r="F733" s="12">
        <f>YEAR(Personal_Finance_Dataset[[#This Row],[Date]])</f>
        <v>2022</v>
      </c>
      <c r="G733">
        <f t="shared" si="11"/>
        <v>2022</v>
      </c>
    </row>
    <row r="734" spans="1:7" x14ac:dyDescent="0.25">
      <c r="A734" s="8">
        <v>44564</v>
      </c>
      <c r="B734" s="9" t="s">
        <v>749</v>
      </c>
      <c r="C734" s="9" t="s">
        <v>17</v>
      </c>
      <c r="D734" s="9">
        <v>1858.46</v>
      </c>
      <c r="E734" s="9" t="s">
        <v>7</v>
      </c>
      <c r="F734" s="12">
        <f>YEAR(Personal_Finance_Dataset[[#This Row],[Date]])</f>
        <v>2022</v>
      </c>
      <c r="G734">
        <f t="shared" si="11"/>
        <v>2022</v>
      </c>
    </row>
    <row r="735" spans="1:7" x14ac:dyDescent="0.25">
      <c r="A735" s="8">
        <v>44565</v>
      </c>
      <c r="B735" s="9" t="s">
        <v>750</v>
      </c>
      <c r="C735" s="9" t="s">
        <v>22</v>
      </c>
      <c r="D735" s="9">
        <v>1137.72</v>
      </c>
      <c r="E735" s="9" t="s">
        <v>7</v>
      </c>
      <c r="F735" s="12">
        <f>YEAR(Personal_Finance_Dataset[[#This Row],[Date]])</f>
        <v>2022</v>
      </c>
      <c r="G735">
        <f t="shared" si="11"/>
        <v>2022</v>
      </c>
    </row>
    <row r="736" spans="1:7" x14ac:dyDescent="0.25">
      <c r="A736" s="8">
        <v>44566</v>
      </c>
      <c r="B736" s="9" t="s">
        <v>751</v>
      </c>
      <c r="C736" s="9" t="s">
        <v>25</v>
      </c>
      <c r="D736" s="9">
        <v>773.85</v>
      </c>
      <c r="E736" s="9" t="s">
        <v>7</v>
      </c>
      <c r="F736" s="12">
        <f>YEAR(Personal_Finance_Dataset[[#This Row],[Date]])</f>
        <v>2022</v>
      </c>
      <c r="G736">
        <f t="shared" si="11"/>
        <v>2022</v>
      </c>
    </row>
    <row r="737" spans="1:7" x14ac:dyDescent="0.25">
      <c r="A737" s="8">
        <v>44567</v>
      </c>
      <c r="B737" s="9" t="s">
        <v>752</v>
      </c>
      <c r="C737" s="9" t="s">
        <v>11</v>
      </c>
      <c r="D737" s="9">
        <v>1006.58</v>
      </c>
      <c r="E737" s="9" t="s">
        <v>7</v>
      </c>
      <c r="F737" s="12">
        <f>YEAR(Personal_Finance_Dataset[[#This Row],[Date]])</f>
        <v>2022</v>
      </c>
      <c r="G737">
        <f t="shared" si="11"/>
        <v>2022</v>
      </c>
    </row>
    <row r="738" spans="1:7" x14ac:dyDescent="0.25">
      <c r="A738" s="8">
        <v>44568</v>
      </c>
      <c r="B738" s="9" t="s">
        <v>753</v>
      </c>
      <c r="C738" s="9" t="s">
        <v>6</v>
      </c>
      <c r="D738" s="9">
        <v>204.39</v>
      </c>
      <c r="E738" s="9" t="s">
        <v>7</v>
      </c>
      <c r="F738" s="12">
        <f>YEAR(Personal_Finance_Dataset[[#This Row],[Date]])</f>
        <v>2022</v>
      </c>
      <c r="G738">
        <f t="shared" si="11"/>
        <v>2022</v>
      </c>
    </row>
    <row r="739" spans="1:7" x14ac:dyDescent="0.25">
      <c r="A739" s="8">
        <v>44569</v>
      </c>
      <c r="B739" s="9" t="s">
        <v>754</v>
      </c>
      <c r="C739" s="9" t="s">
        <v>11</v>
      </c>
      <c r="D739" s="9">
        <v>687.78</v>
      </c>
      <c r="E739" s="9" t="s">
        <v>7</v>
      </c>
      <c r="F739" s="12">
        <f>YEAR(Personal_Finance_Dataset[[#This Row],[Date]])</f>
        <v>2022</v>
      </c>
      <c r="G739">
        <f t="shared" si="11"/>
        <v>2022</v>
      </c>
    </row>
    <row r="740" spans="1:7" x14ac:dyDescent="0.25">
      <c r="A740" s="8">
        <v>44570</v>
      </c>
      <c r="B740" s="9" t="s">
        <v>755</v>
      </c>
      <c r="C740" s="9" t="s">
        <v>17</v>
      </c>
      <c r="D740" s="9">
        <v>1938.15</v>
      </c>
      <c r="E740" s="9" t="s">
        <v>7</v>
      </c>
      <c r="F740" s="12">
        <f>YEAR(Personal_Finance_Dataset[[#This Row],[Date]])</f>
        <v>2022</v>
      </c>
      <c r="G740">
        <f t="shared" si="11"/>
        <v>2022</v>
      </c>
    </row>
    <row r="741" spans="1:7" x14ac:dyDescent="0.25">
      <c r="A741" s="8">
        <v>44571</v>
      </c>
      <c r="B741" s="9" t="s">
        <v>756</v>
      </c>
      <c r="C741" s="9" t="s">
        <v>35</v>
      </c>
      <c r="D741" s="9">
        <v>1569.26</v>
      </c>
      <c r="E741" s="9" t="s">
        <v>7</v>
      </c>
      <c r="F741" s="12">
        <f>YEAR(Personal_Finance_Dataset[[#This Row],[Date]])</f>
        <v>2022</v>
      </c>
      <c r="G741">
        <f t="shared" si="11"/>
        <v>2022</v>
      </c>
    </row>
    <row r="742" spans="1:7" x14ac:dyDescent="0.25">
      <c r="A742" s="8">
        <v>44572</v>
      </c>
      <c r="B742" s="9" t="s">
        <v>757</v>
      </c>
      <c r="C742" s="9" t="s">
        <v>22</v>
      </c>
      <c r="D742" s="9">
        <v>718.06</v>
      </c>
      <c r="E742" s="9" t="s">
        <v>7</v>
      </c>
      <c r="F742" s="12">
        <f>YEAR(Personal_Finance_Dataset[[#This Row],[Date]])</f>
        <v>2022</v>
      </c>
      <c r="G742">
        <f t="shared" si="11"/>
        <v>2022</v>
      </c>
    </row>
    <row r="743" spans="1:7" x14ac:dyDescent="0.25">
      <c r="A743" s="8">
        <v>44573</v>
      </c>
      <c r="B743" s="9" t="s">
        <v>758</v>
      </c>
      <c r="C743" s="9" t="s">
        <v>17</v>
      </c>
      <c r="D743" s="9">
        <v>379.62</v>
      </c>
      <c r="E743" s="9" t="s">
        <v>7</v>
      </c>
      <c r="F743" s="12">
        <f>YEAR(Personal_Finance_Dataset[[#This Row],[Date]])</f>
        <v>2022</v>
      </c>
      <c r="G743">
        <f t="shared" si="11"/>
        <v>2022</v>
      </c>
    </row>
    <row r="744" spans="1:7" x14ac:dyDescent="0.25">
      <c r="A744" s="8">
        <v>44574</v>
      </c>
      <c r="B744" s="9" t="s">
        <v>759</v>
      </c>
      <c r="C744" s="9" t="s">
        <v>17</v>
      </c>
      <c r="D744" s="9">
        <v>180.53</v>
      </c>
      <c r="E744" s="9" t="s">
        <v>7</v>
      </c>
      <c r="F744" s="12">
        <f>YEAR(Personal_Finance_Dataset[[#This Row],[Date]])</f>
        <v>2022</v>
      </c>
      <c r="G744">
        <f t="shared" si="11"/>
        <v>2022</v>
      </c>
    </row>
    <row r="745" spans="1:7" x14ac:dyDescent="0.25">
      <c r="A745" s="8">
        <v>44575</v>
      </c>
      <c r="B745" s="9" t="s">
        <v>760</v>
      </c>
      <c r="C745" s="9" t="s">
        <v>22</v>
      </c>
      <c r="D745" s="9">
        <v>1429.09</v>
      </c>
      <c r="E745" s="9" t="s">
        <v>7</v>
      </c>
      <c r="F745" s="12">
        <f>YEAR(Personal_Finance_Dataset[[#This Row],[Date]])</f>
        <v>2022</v>
      </c>
      <c r="G745">
        <f t="shared" si="11"/>
        <v>2022</v>
      </c>
    </row>
    <row r="746" spans="1:7" x14ac:dyDescent="0.25">
      <c r="A746" s="8">
        <v>44576</v>
      </c>
      <c r="B746" s="9" t="s">
        <v>761</v>
      </c>
      <c r="C746" s="9" t="s">
        <v>13</v>
      </c>
      <c r="D746" s="9">
        <v>3612</v>
      </c>
      <c r="E746" s="9" t="s">
        <v>14</v>
      </c>
      <c r="F746" s="12">
        <f>YEAR(Personal_Finance_Dataset[[#This Row],[Date]])</f>
        <v>2022</v>
      </c>
      <c r="G746">
        <f t="shared" si="11"/>
        <v>2022</v>
      </c>
    </row>
    <row r="747" spans="1:7" x14ac:dyDescent="0.25">
      <c r="A747" s="8">
        <v>44577</v>
      </c>
      <c r="B747" s="9" t="s">
        <v>762</v>
      </c>
      <c r="C747" s="9" t="s">
        <v>9</v>
      </c>
      <c r="D747" s="9">
        <v>1481.91</v>
      </c>
      <c r="E747" s="9" t="s">
        <v>7</v>
      </c>
      <c r="F747" s="12">
        <f>YEAR(Personal_Finance_Dataset[[#This Row],[Date]])</f>
        <v>2022</v>
      </c>
      <c r="G747">
        <f t="shared" si="11"/>
        <v>2022</v>
      </c>
    </row>
    <row r="748" spans="1:7" x14ac:dyDescent="0.25">
      <c r="A748" s="8">
        <v>44578</v>
      </c>
      <c r="B748" s="9" t="s">
        <v>763</v>
      </c>
      <c r="C748" s="9" t="s">
        <v>11</v>
      </c>
      <c r="D748" s="9">
        <v>192.13</v>
      </c>
      <c r="E748" s="9" t="s">
        <v>7</v>
      </c>
      <c r="F748" s="12">
        <f>YEAR(Personal_Finance_Dataset[[#This Row],[Date]])</f>
        <v>2022</v>
      </c>
      <c r="G748">
        <f t="shared" si="11"/>
        <v>2022</v>
      </c>
    </row>
    <row r="749" spans="1:7" x14ac:dyDescent="0.25">
      <c r="A749" s="8">
        <v>44579</v>
      </c>
      <c r="B749" s="9" t="s">
        <v>764</v>
      </c>
      <c r="C749" s="9" t="s">
        <v>27</v>
      </c>
      <c r="D749" s="9">
        <v>726.24</v>
      </c>
      <c r="E749" s="9" t="s">
        <v>7</v>
      </c>
      <c r="F749" s="12">
        <f>YEAR(Personal_Finance_Dataset[[#This Row],[Date]])</f>
        <v>2022</v>
      </c>
      <c r="G749">
        <f t="shared" si="11"/>
        <v>2022</v>
      </c>
    </row>
    <row r="750" spans="1:7" x14ac:dyDescent="0.25">
      <c r="A750" s="8">
        <v>44580</v>
      </c>
      <c r="B750" s="9" t="s">
        <v>765</v>
      </c>
      <c r="C750" s="9" t="s">
        <v>9</v>
      </c>
      <c r="D750" s="9">
        <v>183.72</v>
      </c>
      <c r="E750" s="9" t="s">
        <v>7</v>
      </c>
      <c r="F750" s="12">
        <f>YEAR(Personal_Finance_Dataset[[#This Row],[Date]])</f>
        <v>2022</v>
      </c>
      <c r="G750">
        <f t="shared" si="11"/>
        <v>2022</v>
      </c>
    </row>
    <row r="751" spans="1:7" x14ac:dyDescent="0.25">
      <c r="A751" s="8">
        <v>44581</v>
      </c>
      <c r="B751" s="9" t="s">
        <v>766</v>
      </c>
      <c r="C751" s="9" t="s">
        <v>17</v>
      </c>
      <c r="D751" s="9">
        <v>215.55</v>
      </c>
      <c r="E751" s="9" t="s">
        <v>7</v>
      </c>
      <c r="F751" s="12">
        <f>YEAR(Personal_Finance_Dataset[[#This Row],[Date]])</f>
        <v>2022</v>
      </c>
      <c r="G751">
        <f t="shared" si="11"/>
        <v>2022</v>
      </c>
    </row>
    <row r="752" spans="1:7" x14ac:dyDescent="0.25">
      <c r="A752" s="8">
        <v>44582</v>
      </c>
      <c r="B752" s="9" t="s">
        <v>767</v>
      </c>
      <c r="C752" s="9" t="s">
        <v>13</v>
      </c>
      <c r="D752" s="9">
        <v>3157</v>
      </c>
      <c r="E752" s="9" t="s">
        <v>14</v>
      </c>
      <c r="F752" s="12">
        <f>YEAR(Personal_Finance_Dataset[[#This Row],[Date]])</f>
        <v>2022</v>
      </c>
      <c r="G752">
        <f t="shared" si="11"/>
        <v>2022</v>
      </c>
    </row>
    <row r="753" spans="1:7" x14ac:dyDescent="0.25">
      <c r="A753" s="8">
        <v>44583</v>
      </c>
      <c r="B753" s="9" t="s">
        <v>768</v>
      </c>
      <c r="C753" s="9" t="s">
        <v>6</v>
      </c>
      <c r="D753" s="9">
        <v>590.78</v>
      </c>
      <c r="E753" s="9" t="s">
        <v>7</v>
      </c>
      <c r="F753" s="12">
        <f>YEAR(Personal_Finance_Dataset[[#This Row],[Date]])</f>
        <v>2022</v>
      </c>
      <c r="G753">
        <f t="shared" si="11"/>
        <v>2022</v>
      </c>
    </row>
    <row r="754" spans="1:7" x14ac:dyDescent="0.25">
      <c r="A754" s="8">
        <v>44584</v>
      </c>
      <c r="B754" s="9" t="s">
        <v>769</v>
      </c>
      <c r="C754" s="9" t="s">
        <v>11</v>
      </c>
      <c r="D754" s="9">
        <v>1452.44</v>
      </c>
      <c r="E754" s="9" t="s">
        <v>7</v>
      </c>
      <c r="F754" s="12">
        <f>YEAR(Personal_Finance_Dataset[[#This Row],[Date]])</f>
        <v>2022</v>
      </c>
      <c r="G754">
        <f t="shared" si="11"/>
        <v>2022</v>
      </c>
    </row>
    <row r="755" spans="1:7" x14ac:dyDescent="0.25">
      <c r="A755" s="8">
        <v>44585</v>
      </c>
      <c r="B755" s="9" t="s">
        <v>770</v>
      </c>
      <c r="C755" s="9" t="s">
        <v>22</v>
      </c>
      <c r="D755" s="9">
        <v>1148.2</v>
      </c>
      <c r="E755" s="9" t="s">
        <v>7</v>
      </c>
      <c r="F755" s="12">
        <f>YEAR(Personal_Finance_Dataset[[#This Row],[Date]])</f>
        <v>2022</v>
      </c>
      <c r="G755">
        <f t="shared" si="11"/>
        <v>2022</v>
      </c>
    </row>
    <row r="756" spans="1:7" x14ac:dyDescent="0.25">
      <c r="A756" s="8">
        <v>44586</v>
      </c>
      <c r="B756" s="9" t="s">
        <v>771</v>
      </c>
      <c r="C756" s="9" t="s">
        <v>20</v>
      </c>
      <c r="D756" s="9">
        <v>1888</v>
      </c>
      <c r="E756" s="9" t="s">
        <v>14</v>
      </c>
      <c r="F756" s="12">
        <f>YEAR(Personal_Finance_Dataset[[#This Row],[Date]])</f>
        <v>2022</v>
      </c>
      <c r="G756">
        <f t="shared" si="11"/>
        <v>2022</v>
      </c>
    </row>
    <row r="757" spans="1:7" x14ac:dyDescent="0.25">
      <c r="A757" s="8">
        <v>44587</v>
      </c>
      <c r="B757" s="9" t="s">
        <v>772</v>
      </c>
      <c r="C757" s="9" t="s">
        <v>20</v>
      </c>
      <c r="D757" s="9">
        <v>2698</v>
      </c>
      <c r="E757" s="9" t="s">
        <v>14</v>
      </c>
      <c r="F757" s="12">
        <f>YEAR(Personal_Finance_Dataset[[#This Row],[Date]])</f>
        <v>2022</v>
      </c>
      <c r="G757">
        <f t="shared" si="11"/>
        <v>2022</v>
      </c>
    </row>
    <row r="758" spans="1:7" x14ac:dyDescent="0.25">
      <c r="A758" s="8">
        <v>44588</v>
      </c>
      <c r="B758" s="9" t="s">
        <v>773</v>
      </c>
      <c r="C758" s="9" t="s">
        <v>11</v>
      </c>
      <c r="D758" s="9">
        <v>342.74</v>
      </c>
      <c r="E758" s="9" t="s">
        <v>7</v>
      </c>
      <c r="F758" s="12">
        <f>YEAR(Personal_Finance_Dataset[[#This Row],[Date]])</f>
        <v>2022</v>
      </c>
      <c r="G758">
        <f t="shared" si="11"/>
        <v>2022</v>
      </c>
    </row>
    <row r="759" spans="1:7" x14ac:dyDescent="0.25">
      <c r="A759" s="8">
        <v>44589</v>
      </c>
      <c r="B759" s="9" t="s">
        <v>774</v>
      </c>
      <c r="C759" s="9" t="s">
        <v>35</v>
      </c>
      <c r="D759" s="9">
        <v>973.62</v>
      </c>
      <c r="E759" s="9" t="s">
        <v>7</v>
      </c>
      <c r="F759" s="12">
        <f>YEAR(Personal_Finance_Dataset[[#This Row],[Date]])</f>
        <v>2022</v>
      </c>
      <c r="G759">
        <f t="shared" si="11"/>
        <v>2022</v>
      </c>
    </row>
    <row r="760" spans="1:7" x14ac:dyDescent="0.25">
      <c r="A760" s="8">
        <v>44590</v>
      </c>
      <c r="B760" s="9" t="s">
        <v>775</v>
      </c>
      <c r="C760" s="9" t="s">
        <v>20</v>
      </c>
      <c r="D760" s="9">
        <v>2520</v>
      </c>
      <c r="E760" s="9" t="s">
        <v>14</v>
      </c>
      <c r="F760" s="12">
        <f>YEAR(Personal_Finance_Dataset[[#This Row],[Date]])</f>
        <v>2022</v>
      </c>
      <c r="G760">
        <f t="shared" si="11"/>
        <v>2022</v>
      </c>
    </row>
    <row r="761" spans="1:7" x14ac:dyDescent="0.25">
      <c r="A761" s="8">
        <v>44591</v>
      </c>
      <c r="B761" s="9" t="s">
        <v>776</v>
      </c>
      <c r="C761" s="9" t="s">
        <v>27</v>
      </c>
      <c r="D761" s="9">
        <v>1191.67</v>
      </c>
      <c r="E761" s="9" t="s">
        <v>7</v>
      </c>
      <c r="F761" s="12">
        <f>YEAR(Personal_Finance_Dataset[[#This Row],[Date]])</f>
        <v>2022</v>
      </c>
      <c r="G761">
        <f t="shared" si="11"/>
        <v>2022</v>
      </c>
    </row>
    <row r="762" spans="1:7" x14ac:dyDescent="0.25">
      <c r="A762" s="8">
        <v>44592</v>
      </c>
      <c r="B762" s="9" t="s">
        <v>777</v>
      </c>
      <c r="C762" s="9" t="s">
        <v>13</v>
      </c>
      <c r="D762" s="9">
        <v>1609</v>
      </c>
      <c r="E762" s="9" t="s">
        <v>14</v>
      </c>
      <c r="F762" s="12">
        <f>YEAR(Personal_Finance_Dataset[[#This Row],[Date]])</f>
        <v>2022</v>
      </c>
      <c r="G762">
        <f t="shared" si="11"/>
        <v>2022</v>
      </c>
    </row>
    <row r="763" spans="1:7" x14ac:dyDescent="0.25">
      <c r="A763" s="8">
        <v>44593</v>
      </c>
      <c r="B763" s="9" t="s">
        <v>778</v>
      </c>
      <c r="C763" s="9" t="s">
        <v>17</v>
      </c>
      <c r="D763" s="9">
        <v>671.11</v>
      </c>
      <c r="E763" s="9" t="s">
        <v>7</v>
      </c>
      <c r="F763" s="12">
        <f>YEAR(Personal_Finance_Dataset[[#This Row],[Date]])</f>
        <v>2022</v>
      </c>
      <c r="G763">
        <f t="shared" si="11"/>
        <v>2022</v>
      </c>
    </row>
    <row r="764" spans="1:7" x14ac:dyDescent="0.25">
      <c r="A764" s="8">
        <v>44594</v>
      </c>
      <c r="B764" s="9" t="s">
        <v>779</v>
      </c>
      <c r="C764" s="9" t="s">
        <v>25</v>
      </c>
      <c r="D764" s="9">
        <v>886.04</v>
      </c>
      <c r="E764" s="9" t="s">
        <v>7</v>
      </c>
      <c r="F764" s="12">
        <f>YEAR(Personal_Finance_Dataset[[#This Row],[Date]])</f>
        <v>2022</v>
      </c>
      <c r="G764">
        <f t="shared" si="11"/>
        <v>2022</v>
      </c>
    </row>
    <row r="765" spans="1:7" x14ac:dyDescent="0.25">
      <c r="A765" s="8">
        <v>44595</v>
      </c>
      <c r="B765" s="9" t="s">
        <v>780</v>
      </c>
      <c r="C765" s="9" t="s">
        <v>9</v>
      </c>
      <c r="D765" s="9">
        <v>607.87</v>
      </c>
      <c r="E765" s="9" t="s">
        <v>7</v>
      </c>
      <c r="F765" s="12">
        <f>YEAR(Personal_Finance_Dataset[[#This Row],[Date]])</f>
        <v>2022</v>
      </c>
      <c r="G765">
        <f t="shared" si="11"/>
        <v>2022</v>
      </c>
    </row>
    <row r="766" spans="1:7" x14ac:dyDescent="0.25">
      <c r="A766" s="8">
        <v>44596</v>
      </c>
      <c r="B766" s="9" t="s">
        <v>781</v>
      </c>
      <c r="C766" s="9" t="s">
        <v>22</v>
      </c>
      <c r="D766" s="9">
        <v>963.23</v>
      </c>
      <c r="E766" s="9" t="s">
        <v>7</v>
      </c>
      <c r="F766" s="12">
        <f>YEAR(Personal_Finance_Dataset[[#This Row],[Date]])</f>
        <v>2022</v>
      </c>
      <c r="G766">
        <f t="shared" si="11"/>
        <v>2022</v>
      </c>
    </row>
    <row r="767" spans="1:7" x14ac:dyDescent="0.25">
      <c r="A767" s="8">
        <v>44597</v>
      </c>
      <c r="B767" s="9" t="s">
        <v>782</v>
      </c>
      <c r="C767" s="9" t="s">
        <v>20</v>
      </c>
      <c r="D767" s="9">
        <v>3114</v>
      </c>
      <c r="E767" s="9" t="s">
        <v>14</v>
      </c>
      <c r="F767" s="12">
        <f>YEAR(Personal_Finance_Dataset[[#This Row],[Date]])</f>
        <v>2022</v>
      </c>
      <c r="G767">
        <f t="shared" si="11"/>
        <v>2022</v>
      </c>
    </row>
    <row r="768" spans="1:7" x14ac:dyDescent="0.25">
      <c r="A768" s="8">
        <v>44598</v>
      </c>
      <c r="B768" s="9" t="s">
        <v>783</v>
      </c>
      <c r="C768" s="9" t="s">
        <v>27</v>
      </c>
      <c r="D768" s="9">
        <v>1935.85</v>
      </c>
      <c r="E768" s="9" t="s">
        <v>7</v>
      </c>
      <c r="F768" s="12">
        <f>YEAR(Personal_Finance_Dataset[[#This Row],[Date]])</f>
        <v>2022</v>
      </c>
      <c r="G768">
        <f t="shared" si="11"/>
        <v>2022</v>
      </c>
    </row>
    <row r="769" spans="1:7" x14ac:dyDescent="0.25">
      <c r="A769" s="8">
        <v>44599</v>
      </c>
      <c r="B769" s="9" t="s">
        <v>784</v>
      </c>
      <c r="C769" s="9" t="s">
        <v>25</v>
      </c>
      <c r="D769" s="9">
        <v>758.35</v>
      </c>
      <c r="E769" s="9" t="s">
        <v>7</v>
      </c>
      <c r="F769" s="12">
        <f>YEAR(Personal_Finance_Dataset[[#This Row],[Date]])</f>
        <v>2022</v>
      </c>
      <c r="G769">
        <f t="shared" si="11"/>
        <v>2022</v>
      </c>
    </row>
    <row r="770" spans="1:7" x14ac:dyDescent="0.25">
      <c r="A770" s="8">
        <v>44600</v>
      </c>
      <c r="B770" s="9" t="s">
        <v>785</v>
      </c>
      <c r="C770" s="9" t="s">
        <v>17</v>
      </c>
      <c r="D770" s="9">
        <v>736.38</v>
      </c>
      <c r="E770" s="9" t="s">
        <v>7</v>
      </c>
      <c r="F770" s="12">
        <f>YEAR(Personal_Finance_Dataset[[#This Row],[Date]])</f>
        <v>2022</v>
      </c>
      <c r="G770">
        <f t="shared" ref="G770:G833" si="12">YEAR(A770)</f>
        <v>2022</v>
      </c>
    </row>
    <row r="771" spans="1:7" x14ac:dyDescent="0.25">
      <c r="A771" s="8">
        <v>44601</v>
      </c>
      <c r="B771" s="9" t="s">
        <v>786</v>
      </c>
      <c r="C771" s="9" t="s">
        <v>22</v>
      </c>
      <c r="D771" s="9">
        <v>1188.53</v>
      </c>
      <c r="E771" s="9" t="s">
        <v>7</v>
      </c>
      <c r="F771" s="12">
        <f>YEAR(Personal_Finance_Dataset[[#This Row],[Date]])</f>
        <v>2022</v>
      </c>
      <c r="G771">
        <f t="shared" si="12"/>
        <v>2022</v>
      </c>
    </row>
    <row r="772" spans="1:7" x14ac:dyDescent="0.25">
      <c r="A772" s="8">
        <v>44602</v>
      </c>
      <c r="B772" s="9" t="s">
        <v>787</v>
      </c>
      <c r="C772" s="9" t="s">
        <v>6</v>
      </c>
      <c r="D772" s="9">
        <v>1906.48</v>
      </c>
      <c r="E772" s="9" t="s">
        <v>7</v>
      </c>
      <c r="F772" s="12">
        <f>YEAR(Personal_Finance_Dataset[[#This Row],[Date]])</f>
        <v>2022</v>
      </c>
      <c r="G772">
        <f t="shared" si="12"/>
        <v>2022</v>
      </c>
    </row>
    <row r="773" spans="1:7" x14ac:dyDescent="0.25">
      <c r="A773" s="8">
        <v>44603</v>
      </c>
      <c r="B773" s="9" t="s">
        <v>788</v>
      </c>
      <c r="C773" s="9" t="s">
        <v>22</v>
      </c>
      <c r="D773" s="9">
        <v>882.53</v>
      </c>
      <c r="E773" s="9" t="s">
        <v>7</v>
      </c>
      <c r="F773" s="12">
        <f>YEAR(Personal_Finance_Dataset[[#This Row],[Date]])</f>
        <v>2022</v>
      </c>
      <c r="G773">
        <f t="shared" si="12"/>
        <v>2022</v>
      </c>
    </row>
    <row r="774" spans="1:7" x14ac:dyDescent="0.25">
      <c r="A774" s="8">
        <v>44604</v>
      </c>
      <c r="B774" s="9" t="s">
        <v>789</v>
      </c>
      <c r="C774" s="9" t="s">
        <v>11</v>
      </c>
      <c r="D774" s="9">
        <v>1639.74</v>
      </c>
      <c r="E774" s="9" t="s">
        <v>7</v>
      </c>
      <c r="F774" s="12">
        <f>YEAR(Personal_Finance_Dataset[[#This Row],[Date]])</f>
        <v>2022</v>
      </c>
      <c r="G774">
        <f t="shared" si="12"/>
        <v>2022</v>
      </c>
    </row>
    <row r="775" spans="1:7" x14ac:dyDescent="0.25">
      <c r="A775" s="8">
        <v>44605</v>
      </c>
      <c r="B775" s="9" t="s">
        <v>790</v>
      </c>
      <c r="C775" s="9" t="s">
        <v>17</v>
      </c>
      <c r="D775" s="9">
        <v>1349.23</v>
      </c>
      <c r="E775" s="9" t="s">
        <v>7</v>
      </c>
      <c r="F775" s="12">
        <f>YEAR(Personal_Finance_Dataset[[#This Row],[Date]])</f>
        <v>2022</v>
      </c>
      <c r="G775">
        <f t="shared" si="12"/>
        <v>2022</v>
      </c>
    </row>
    <row r="776" spans="1:7" x14ac:dyDescent="0.25">
      <c r="A776" s="8">
        <v>44606</v>
      </c>
      <c r="B776" s="9" t="s">
        <v>791</v>
      </c>
      <c r="C776" s="9" t="s">
        <v>20</v>
      </c>
      <c r="D776" s="9">
        <v>2482</v>
      </c>
      <c r="E776" s="9" t="s">
        <v>14</v>
      </c>
      <c r="F776" s="12">
        <f>YEAR(Personal_Finance_Dataset[[#This Row],[Date]])</f>
        <v>2022</v>
      </c>
      <c r="G776">
        <f t="shared" si="12"/>
        <v>2022</v>
      </c>
    </row>
    <row r="777" spans="1:7" x14ac:dyDescent="0.25">
      <c r="A777" s="8">
        <v>44607</v>
      </c>
      <c r="B777" s="9" t="s">
        <v>792</v>
      </c>
      <c r="C777" s="9" t="s">
        <v>9</v>
      </c>
      <c r="D777" s="9">
        <v>1433.32</v>
      </c>
      <c r="E777" s="9" t="s">
        <v>7</v>
      </c>
      <c r="F777" s="12">
        <f>YEAR(Personal_Finance_Dataset[[#This Row],[Date]])</f>
        <v>2022</v>
      </c>
      <c r="G777">
        <f t="shared" si="12"/>
        <v>2022</v>
      </c>
    </row>
    <row r="778" spans="1:7" x14ac:dyDescent="0.25">
      <c r="A778" s="8">
        <v>44608</v>
      </c>
      <c r="B778" s="9" t="s">
        <v>793</v>
      </c>
      <c r="C778" s="9" t="s">
        <v>11</v>
      </c>
      <c r="D778" s="9">
        <v>903.64</v>
      </c>
      <c r="E778" s="9" t="s">
        <v>7</v>
      </c>
      <c r="F778" s="12">
        <f>YEAR(Personal_Finance_Dataset[[#This Row],[Date]])</f>
        <v>2022</v>
      </c>
      <c r="G778">
        <f t="shared" si="12"/>
        <v>2022</v>
      </c>
    </row>
    <row r="779" spans="1:7" x14ac:dyDescent="0.25">
      <c r="A779" s="8">
        <v>44609</v>
      </c>
      <c r="B779" s="9" t="s">
        <v>794</v>
      </c>
      <c r="C779" s="9" t="s">
        <v>17</v>
      </c>
      <c r="D779" s="9">
        <v>1073.3900000000001</v>
      </c>
      <c r="E779" s="9" t="s">
        <v>7</v>
      </c>
      <c r="F779" s="12">
        <f>YEAR(Personal_Finance_Dataset[[#This Row],[Date]])</f>
        <v>2022</v>
      </c>
      <c r="G779">
        <f t="shared" si="12"/>
        <v>2022</v>
      </c>
    </row>
    <row r="780" spans="1:7" x14ac:dyDescent="0.25">
      <c r="A780" s="8">
        <v>44610</v>
      </c>
      <c r="B780" s="9" t="s">
        <v>795</v>
      </c>
      <c r="C780" s="9" t="s">
        <v>17</v>
      </c>
      <c r="D780" s="9">
        <v>1091.8499999999999</v>
      </c>
      <c r="E780" s="9" t="s">
        <v>7</v>
      </c>
      <c r="F780" s="12">
        <f>YEAR(Personal_Finance_Dataset[[#This Row],[Date]])</f>
        <v>2022</v>
      </c>
      <c r="G780">
        <f t="shared" si="12"/>
        <v>2022</v>
      </c>
    </row>
    <row r="781" spans="1:7" x14ac:dyDescent="0.25">
      <c r="A781" s="8">
        <v>44611</v>
      </c>
      <c r="B781" s="9" t="s">
        <v>796</v>
      </c>
      <c r="C781" s="9" t="s">
        <v>25</v>
      </c>
      <c r="D781" s="9">
        <v>1406.25</v>
      </c>
      <c r="E781" s="9" t="s">
        <v>7</v>
      </c>
      <c r="F781" s="12">
        <f>YEAR(Personal_Finance_Dataset[[#This Row],[Date]])</f>
        <v>2022</v>
      </c>
      <c r="G781">
        <f t="shared" si="12"/>
        <v>2022</v>
      </c>
    </row>
    <row r="782" spans="1:7" x14ac:dyDescent="0.25">
      <c r="A782" s="8">
        <v>44612</v>
      </c>
      <c r="B782" s="9" t="s">
        <v>797</v>
      </c>
      <c r="C782" s="9" t="s">
        <v>11</v>
      </c>
      <c r="D782" s="9">
        <v>227.65</v>
      </c>
      <c r="E782" s="9" t="s">
        <v>7</v>
      </c>
      <c r="F782" s="12">
        <f>YEAR(Personal_Finance_Dataset[[#This Row],[Date]])</f>
        <v>2022</v>
      </c>
      <c r="G782">
        <f t="shared" si="12"/>
        <v>2022</v>
      </c>
    </row>
    <row r="783" spans="1:7" x14ac:dyDescent="0.25">
      <c r="A783" s="8">
        <v>44613</v>
      </c>
      <c r="B783" s="9" t="s">
        <v>798</v>
      </c>
      <c r="C783" s="9" t="s">
        <v>25</v>
      </c>
      <c r="D783" s="9">
        <v>341.01</v>
      </c>
      <c r="E783" s="9" t="s">
        <v>7</v>
      </c>
      <c r="F783" s="12">
        <f>YEAR(Personal_Finance_Dataset[[#This Row],[Date]])</f>
        <v>2022</v>
      </c>
      <c r="G783">
        <f t="shared" si="12"/>
        <v>2022</v>
      </c>
    </row>
    <row r="784" spans="1:7" x14ac:dyDescent="0.25">
      <c r="A784" s="8">
        <v>44614</v>
      </c>
      <c r="B784" s="9" t="s">
        <v>799</v>
      </c>
      <c r="C784" s="9" t="s">
        <v>17</v>
      </c>
      <c r="D784" s="9">
        <v>1933.95</v>
      </c>
      <c r="E784" s="9" t="s">
        <v>7</v>
      </c>
      <c r="F784" s="12">
        <f>YEAR(Personal_Finance_Dataset[[#This Row],[Date]])</f>
        <v>2022</v>
      </c>
      <c r="G784">
        <f t="shared" si="12"/>
        <v>2022</v>
      </c>
    </row>
    <row r="785" spans="1:7" x14ac:dyDescent="0.25">
      <c r="A785" s="8">
        <v>44615</v>
      </c>
      <c r="B785" s="9" t="s">
        <v>800</v>
      </c>
      <c r="C785" s="9" t="s">
        <v>17</v>
      </c>
      <c r="D785" s="9">
        <v>220.83</v>
      </c>
      <c r="E785" s="9" t="s">
        <v>7</v>
      </c>
      <c r="F785" s="12">
        <f>YEAR(Personal_Finance_Dataset[[#This Row],[Date]])</f>
        <v>2022</v>
      </c>
      <c r="G785">
        <f t="shared" si="12"/>
        <v>2022</v>
      </c>
    </row>
    <row r="786" spans="1:7" x14ac:dyDescent="0.25">
      <c r="A786" s="8">
        <v>44616</v>
      </c>
      <c r="B786" s="9" t="s">
        <v>801</v>
      </c>
      <c r="C786" s="9" t="s">
        <v>13</v>
      </c>
      <c r="D786" s="9">
        <v>4683</v>
      </c>
      <c r="E786" s="9" t="s">
        <v>14</v>
      </c>
      <c r="F786" s="12">
        <f>YEAR(Personal_Finance_Dataset[[#This Row],[Date]])</f>
        <v>2022</v>
      </c>
      <c r="G786">
        <f t="shared" si="12"/>
        <v>2022</v>
      </c>
    </row>
    <row r="787" spans="1:7" x14ac:dyDescent="0.25">
      <c r="A787" s="8">
        <v>44617</v>
      </c>
      <c r="B787" s="9" t="s">
        <v>802</v>
      </c>
      <c r="C787" s="9" t="s">
        <v>22</v>
      </c>
      <c r="D787" s="9">
        <v>897.1</v>
      </c>
      <c r="E787" s="9" t="s">
        <v>7</v>
      </c>
      <c r="F787" s="12">
        <f>YEAR(Personal_Finance_Dataset[[#This Row],[Date]])</f>
        <v>2022</v>
      </c>
      <c r="G787">
        <f t="shared" si="12"/>
        <v>2022</v>
      </c>
    </row>
    <row r="788" spans="1:7" x14ac:dyDescent="0.25">
      <c r="A788" s="8">
        <v>44618</v>
      </c>
      <c r="B788" s="9" t="s">
        <v>803</v>
      </c>
      <c r="C788" s="9" t="s">
        <v>9</v>
      </c>
      <c r="D788" s="9">
        <v>696.49</v>
      </c>
      <c r="E788" s="9" t="s">
        <v>7</v>
      </c>
      <c r="F788" s="12">
        <f>YEAR(Personal_Finance_Dataset[[#This Row],[Date]])</f>
        <v>2022</v>
      </c>
      <c r="G788">
        <f t="shared" si="12"/>
        <v>2022</v>
      </c>
    </row>
    <row r="789" spans="1:7" x14ac:dyDescent="0.25">
      <c r="A789" s="8">
        <v>44619</v>
      </c>
      <c r="B789" s="9" t="s">
        <v>804</v>
      </c>
      <c r="C789" s="9" t="s">
        <v>13</v>
      </c>
      <c r="D789" s="9">
        <v>2920</v>
      </c>
      <c r="E789" s="9" t="s">
        <v>14</v>
      </c>
      <c r="F789" s="12">
        <f>YEAR(Personal_Finance_Dataset[[#This Row],[Date]])</f>
        <v>2022</v>
      </c>
      <c r="G789">
        <f t="shared" si="12"/>
        <v>2022</v>
      </c>
    </row>
    <row r="790" spans="1:7" x14ac:dyDescent="0.25">
      <c r="A790" s="8">
        <v>44620</v>
      </c>
      <c r="B790" s="9" t="s">
        <v>805</v>
      </c>
      <c r="C790" s="9" t="s">
        <v>11</v>
      </c>
      <c r="D790" s="9">
        <v>240.98</v>
      </c>
      <c r="E790" s="9" t="s">
        <v>7</v>
      </c>
      <c r="F790" s="12">
        <f>YEAR(Personal_Finance_Dataset[[#This Row],[Date]])</f>
        <v>2022</v>
      </c>
      <c r="G790">
        <f t="shared" si="12"/>
        <v>2022</v>
      </c>
    </row>
    <row r="791" spans="1:7" x14ac:dyDescent="0.25">
      <c r="A791" s="8">
        <v>44621</v>
      </c>
      <c r="B791" s="9" t="s">
        <v>806</v>
      </c>
      <c r="C791" s="9" t="s">
        <v>9</v>
      </c>
      <c r="D791" s="9">
        <v>703.17</v>
      </c>
      <c r="E791" s="9" t="s">
        <v>7</v>
      </c>
      <c r="F791" s="12">
        <f>YEAR(Personal_Finance_Dataset[[#This Row],[Date]])</f>
        <v>2022</v>
      </c>
      <c r="G791">
        <f t="shared" si="12"/>
        <v>2022</v>
      </c>
    </row>
    <row r="792" spans="1:7" x14ac:dyDescent="0.25">
      <c r="A792" s="8">
        <v>44622</v>
      </c>
      <c r="B792" s="9" t="s">
        <v>807</v>
      </c>
      <c r="C792" s="9" t="s">
        <v>22</v>
      </c>
      <c r="D792" s="9">
        <v>1047.02</v>
      </c>
      <c r="E792" s="9" t="s">
        <v>7</v>
      </c>
      <c r="F792" s="12">
        <f>YEAR(Personal_Finance_Dataset[[#This Row],[Date]])</f>
        <v>2022</v>
      </c>
      <c r="G792">
        <f t="shared" si="12"/>
        <v>2022</v>
      </c>
    </row>
    <row r="793" spans="1:7" x14ac:dyDescent="0.25">
      <c r="A793" s="8">
        <v>44623</v>
      </c>
      <c r="B793" s="9" t="s">
        <v>808</v>
      </c>
      <c r="C793" s="9" t="s">
        <v>11</v>
      </c>
      <c r="D793" s="9">
        <v>881.95</v>
      </c>
      <c r="E793" s="9" t="s">
        <v>7</v>
      </c>
      <c r="F793" s="12">
        <f>YEAR(Personal_Finance_Dataset[[#This Row],[Date]])</f>
        <v>2022</v>
      </c>
      <c r="G793">
        <f t="shared" si="12"/>
        <v>2022</v>
      </c>
    </row>
    <row r="794" spans="1:7" x14ac:dyDescent="0.25">
      <c r="A794" s="8">
        <v>44624</v>
      </c>
      <c r="B794" s="9" t="s">
        <v>809</v>
      </c>
      <c r="C794" s="9" t="s">
        <v>25</v>
      </c>
      <c r="D794" s="9">
        <v>143.68</v>
      </c>
      <c r="E794" s="9" t="s">
        <v>7</v>
      </c>
      <c r="F794" s="12">
        <f>YEAR(Personal_Finance_Dataset[[#This Row],[Date]])</f>
        <v>2022</v>
      </c>
      <c r="G794">
        <f t="shared" si="12"/>
        <v>2022</v>
      </c>
    </row>
    <row r="795" spans="1:7" x14ac:dyDescent="0.25">
      <c r="A795" s="8">
        <v>44625</v>
      </c>
      <c r="B795" s="9" t="s">
        <v>810</v>
      </c>
      <c r="C795" s="9" t="s">
        <v>13</v>
      </c>
      <c r="D795" s="9">
        <v>685</v>
      </c>
      <c r="E795" s="9" t="s">
        <v>14</v>
      </c>
      <c r="F795" s="12">
        <f>YEAR(Personal_Finance_Dataset[[#This Row],[Date]])</f>
        <v>2022</v>
      </c>
      <c r="G795">
        <f t="shared" si="12"/>
        <v>2022</v>
      </c>
    </row>
    <row r="796" spans="1:7" x14ac:dyDescent="0.25">
      <c r="A796" s="8">
        <v>44626</v>
      </c>
      <c r="B796" s="9" t="s">
        <v>811</v>
      </c>
      <c r="C796" s="9" t="s">
        <v>11</v>
      </c>
      <c r="D796" s="9">
        <v>1357.51</v>
      </c>
      <c r="E796" s="9" t="s">
        <v>7</v>
      </c>
      <c r="F796" s="12">
        <f>YEAR(Personal_Finance_Dataset[[#This Row],[Date]])</f>
        <v>2022</v>
      </c>
      <c r="G796">
        <f t="shared" si="12"/>
        <v>2022</v>
      </c>
    </row>
    <row r="797" spans="1:7" x14ac:dyDescent="0.25">
      <c r="A797" s="8">
        <v>44627</v>
      </c>
      <c r="B797" s="9" t="s">
        <v>812</v>
      </c>
      <c r="C797" s="9" t="s">
        <v>13</v>
      </c>
      <c r="D797" s="9">
        <v>4727</v>
      </c>
      <c r="E797" s="9" t="s">
        <v>14</v>
      </c>
      <c r="F797" s="12">
        <f>YEAR(Personal_Finance_Dataset[[#This Row],[Date]])</f>
        <v>2022</v>
      </c>
      <c r="G797">
        <f t="shared" si="12"/>
        <v>2022</v>
      </c>
    </row>
    <row r="798" spans="1:7" x14ac:dyDescent="0.25">
      <c r="A798" s="8">
        <v>44628</v>
      </c>
      <c r="B798" s="9" t="s">
        <v>813</v>
      </c>
      <c r="C798" s="9" t="s">
        <v>13</v>
      </c>
      <c r="D798" s="9">
        <v>3211</v>
      </c>
      <c r="E798" s="9" t="s">
        <v>14</v>
      </c>
      <c r="F798" s="12">
        <f>YEAR(Personal_Finance_Dataset[[#This Row],[Date]])</f>
        <v>2022</v>
      </c>
      <c r="G798">
        <f t="shared" si="12"/>
        <v>2022</v>
      </c>
    </row>
    <row r="799" spans="1:7" x14ac:dyDescent="0.25">
      <c r="A799" s="8">
        <v>44629</v>
      </c>
      <c r="B799" s="9" t="s">
        <v>814</v>
      </c>
      <c r="C799" s="9" t="s">
        <v>27</v>
      </c>
      <c r="D799" s="9">
        <v>471.39</v>
      </c>
      <c r="E799" s="9" t="s">
        <v>7</v>
      </c>
      <c r="F799" s="12">
        <f>YEAR(Personal_Finance_Dataset[[#This Row],[Date]])</f>
        <v>2022</v>
      </c>
      <c r="G799">
        <f t="shared" si="12"/>
        <v>2022</v>
      </c>
    </row>
    <row r="800" spans="1:7" x14ac:dyDescent="0.25">
      <c r="A800" s="8">
        <v>44630</v>
      </c>
      <c r="B800" s="9" t="s">
        <v>815</v>
      </c>
      <c r="C800" s="9" t="s">
        <v>9</v>
      </c>
      <c r="D800" s="9">
        <v>380.91</v>
      </c>
      <c r="E800" s="9" t="s">
        <v>7</v>
      </c>
      <c r="F800" s="12">
        <f>YEAR(Personal_Finance_Dataset[[#This Row],[Date]])</f>
        <v>2022</v>
      </c>
      <c r="G800">
        <f t="shared" si="12"/>
        <v>2022</v>
      </c>
    </row>
    <row r="801" spans="1:7" x14ac:dyDescent="0.25">
      <c r="A801" s="8">
        <v>44631</v>
      </c>
      <c r="B801" s="9" t="s">
        <v>816</v>
      </c>
      <c r="C801" s="9" t="s">
        <v>17</v>
      </c>
      <c r="D801" s="9">
        <v>68.09</v>
      </c>
      <c r="E801" s="9" t="s">
        <v>7</v>
      </c>
      <c r="F801" s="12">
        <f>YEAR(Personal_Finance_Dataset[[#This Row],[Date]])</f>
        <v>2022</v>
      </c>
      <c r="G801">
        <f t="shared" si="12"/>
        <v>2022</v>
      </c>
    </row>
    <row r="802" spans="1:7" x14ac:dyDescent="0.25">
      <c r="A802" s="8">
        <v>44632</v>
      </c>
      <c r="B802" s="9" t="s">
        <v>817</v>
      </c>
      <c r="C802" s="9" t="s">
        <v>22</v>
      </c>
      <c r="D802" s="9">
        <v>904.65</v>
      </c>
      <c r="E802" s="9" t="s">
        <v>7</v>
      </c>
      <c r="F802" s="12">
        <f>YEAR(Personal_Finance_Dataset[[#This Row],[Date]])</f>
        <v>2022</v>
      </c>
      <c r="G802">
        <f t="shared" si="12"/>
        <v>2022</v>
      </c>
    </row>
    <row r="803" spans="1:7" x14ac:dyDescent="0.25">
      <c r="A803" s="8">
        <v>44633</v>
      </c>
      <c r="B803" s="9" t="s">
        <v>818</v>
      </c>
      <c r="C803" s="9" t="s">
        <v>6</v>
      </c>
      <c r="D803" s="9">
        <v>1412.42</v>
      </c>
      <c r="E803" s="9" t="s">
        <v>7</v>
      </c>
      <c r="F803" s="12">
        <f>YEAR(Personal_Finance_Dataset[[#This Row],[Date]])</f>
        <v>2022</v>
      </c>
      <c r="G803">
        <f t="shared" si="12"/>
        <v>2022</v>
      </c>
    </row>
    <row r="804" spans="1:7" x14ac:dyDescent="0.25">
      <c r="A804" s="8">
        <v>44634</v>
      </c>
      <c r="B804" s="9" t="s">
        <v>819</v>
      </c>
      <c r="C804" s="9" t="s">
        <v>11</v>
      </c>
      <c r="D804" s="9">
        <v>1158.92</v>
      </c>
      <c r="E804" s="9" t="s">
        <v>7</v>
      </c>
      <c r="F804" s="12">
        <f>YEAR(Personal_Finance_Dataset[[#This Row],[Date]])</f>
        <v>2022</v>
      </c>
      <c r="G804">
        <f t="shared" si="12"/>
        <v>2022</v>
      </c>
    </row>
    <row r="805" spans="1:7" x14ac:dyDescent="0.25">
      <c r="A805" s="8">
        <v>44635</v>
      </c>
      <c r="B805" s="9" t="s">
        <v>820</v>
      </c>
      <c r="C805" s="9" t="s">
        <v>9</v>
      </c>
      <c r="D805" s="9">
        <v>737.93</v>
      </c>
      <c r="E805" s="9" t="s">
        <v>7</v>
      </c>
      <c r="F805" s="12">
        <f>YEAR(Personal_Finance_Dataset[[#This Row],[Date]])</f>
        <v>2022</v>
      </c>
      <c r="G805">
        <f t="shared" si="12"/>
        <v>2022</v>
      </c>
    </row>
    <row r="806" spans="1:7" x14ac:dyDescent="0.25">
      <c r="A806" s="8">
        <v>44636</v>
      </c>
      <c r="B806" s="9" t="s">
        <v>821</v>
      </c>
      <c r="C806" s="9" t="s">
        <v>13</v>
      </c>
      <c r="D806" s="9">
        <v>2649</v>
      </c>
      <c r="E806" s="9" t="s">
        <v>14</v>
      </c>
      <c r="F806" s="12">
        <f>YEAR(Personal_Finance_Dataset[[#This Row],[Date]])</f>
        <v>2022</v>
      </c>
      <c r="G806">
        <f t="shared" si="12"/>
        <v>2022</v>
      </c>
    </row>
    <row r="807" spans="1:7" x14ac:dyDescent="0.25">
      <c r="A807" s="8">
        <v>44637</v>
      </c>
      <c r="B807" s="9" t="s">
        <v>822</v>
      </c>
      <c r="C807" s="9" t="s">
        <v>27</v>
      </c>
      <c r="D807" s="9">
        <v>1060.1500000000001</v>
      </c>
      <c r="E807" s="9" t="s">
        <v>7</v>
      </c>
      <c r="F807" s="12">
        <f>YEAR(Personal_Finance_Dataset[[#This Row],[Date]])</f>
        <v>2022</v>
      </c>
      <c r="G807">
        <f t="shared" si="12"/>
        <v>2022</v>
      </c>
    </row>
    <row r="808" spans="1:7" x14ac:dyDescent="0.25">
      <c r="A808" s="8">
        <v>44638</v>
      </c>
      <c r="B808" s="9" t="s">
        <v>823</v>
      </c>
      <c r="C808" s="9" t="s">
        <v>17</v>
      </c>
      <c r="D808" s="9">
        <v>1226.5</v>
      </c>
      <c r="E808" s="9" t="s">
        <v>7</v>
      </c>
      <c r="F808" s="12">
        <f>YEAR(Personal_Finance_Dataset[[#This Row],[Date]])</f>
        <v>2022</v>
      </c>
      <c r="G808">
        <f t="shared" si="12"/>
        <v>2022</v>
      </c>
    </row>
    <row r="809" spans="1:7" x14ac:dyDescent="0.25">
      <c r="A809" s="8">
        <v>44639</v>
      </c>
      <c r="B809" s="9" t="s">
        <v>824</v>
      </c>
      <c r="C809" s="9" t="s">
        <v>25</v>
      </c>
      <c r="D809" s="9">
        <v>710.45</v>
      </c>
      <c r="E809" s="9" t="s">
        <v>7</v>
      </c>
      <c r="F809" s="12">
        <f>YEAR(Personal_Finance_Dataset[[#This Row],[Date]])</f>
        <v>2022</v>
      </c>
      <c r="G809">
        <f t="shared" si="12"/>
        <v>2022</v>
      </c>
    </row>
    <row r="810" spans="1:7" x14ac:dyDescent="0.25">
      <c r="A810" s="8">
        <v>44640</v>
      </c>
      <c r="B810" s="9" t="s">
        <v>825</v>
      </c>
      <c r="C810" s="9" t="s">
        <v>9</v>
      </c>
      <c r="D810" s="9">
        <v>1629.34</v>
      </c>
      <c r="E810" s="9" t="s">
        <v>7</v>
      </c>
      <c r="F810" s="12">
        <f>YEAR(Personal_Finance_Dataset[[#This Row],[Date]])</f>
        <v>2022</v>
      </c>
      <c r="G810">
        <f t="shared" si="12"/>
        <v>2022</v>
      </c>
    </row>
    <row r="811" spans="1:7" x14ac:dyDescent="0.25">
      <c r="A811" s="8">
        <v>44641</v>
      </c>
      <c r="B811" s="9" t="s">
        <v>826</v>
      </c>
      <c r="C811" s="9" t="s">
        <v>35</v>
      </c>
      <c r="D811" s="9">
        <v>1838.18</v>
      </c>
      <c r="E811" s="9" t="s">
        <v>7</v>
      </c>
      <c r="F811" s="12">
        <f>YEAR(Personal_Finance_Dataset[[#This Row],[Date]])</f>
        <v>2022</v>
      </c>
      <c r="G811">
        <f t="shared" si="12"/>
        <v>2022</v>
      </c>
    </row>
    <row r="812" spans="1:7" x14ac:dyDescent="0.25">
      <c r="A812" s="8">
        <v>44642</v>
      </c>
      <c r="B812" s="9" t="s">
        <v>827</v>
      </c>
      <c r="C812" s="9" t="s">
        <v>9</v>
      </c>
      <c r="D812" s="9">
        <v>633.24</v>
      </c>
      <c r="E812" s="9" t="s">
        <v>7</v>
      </c>
      <c r="F812" s="12">
        <f>YEAR(Personal_Finance_Dataset[[#This Row],[Date]])</f>
        <v>2022</v>
      </c>
      <c r="G812">
        <f t="shared" si="12"/>
        <v>2022</v>
      </c>
    </row>
    <row r="813" spans="1:7" x14ac:dyDescent="0.25">
      <c r="A813" s="8">
        <v>44643</v>
      </c>
      <c r="B813" s="9" t="s">
        <v>828</v>
      </c>
      <c r="C813" s="9" t="s">
        <v>11</v>
      </c>
      <c r="D813" s="9">
        <v>374.26</v>
      </c>
      <c r="E813" s="9" t="s">
        <v>7</v>
      </c>
      <c r="F813" s="12">
        <f>YEAR(Personal_Finance_Dataset[[#This Row],[Date]])</f>
        <v>2022</v>
      </c>
      <c r="G813">
        <f t="shared" si="12"/>
        <v>2022</v>
      </c>
    </row>
    <row r="814" spans="1:7" x14ac:dyDescent="0.25">
      <c r="A814" s="8">
        <v>44644</v>
      </c>
      <c r="B814" s="9" t="s">
        <v>829</v>
      </c>
      <c r="C814" s="9" t="s">
        <v>17</v>
      </c>
      <c r="D814" s="9">
        <v>842.3</v>
      </c>
      <c r="E814" s="9" t="s">
        <v>7</v>
      </c>
      <c r="F814" s="12">
        <f>YEAR(Personal_Finance_Dataset[[#This Row],[Date]])</f>
        <v>2022</v>
      </c>
      <c r="G814">
        <f t="shared" si="12"/>
        <v>2022</v>
      </c>
    </row>
    <row r="815" spans="1:7" x14ac:dyDescent="0.25">
      <c r="A815" s="8">
        <v>44645</v>
      </c>
      <c r="B815" s="9" t="s">
        <v>830</v>
      </c>
      <c r="C815" s="9" t="s">
        <v>20</v>
      </c>
      <c r="D815" s="9">
        <v>3965</v>
      </c>
      <c r="E815" s="9" t="s">
        <v>14</v>
      </c>
      <c r="F815" s="12">
        <f>YEAR(Personal_Finance_Dataset[[#This Row],[Date]])</f>
        <v>2022</v>
      </c>
      <c r="G815">
        <f t="shared" si="12"/>
        <v>2022</v>
      </c>
    </row>
    <row r="816" spans="1:7" x14ac:dyDescent="0.25">
      <c r="A816" s="8">
        <v>44646</v>
      </c>
      <c r="B816" s="9" t="s">
        <v>831</v>
      </c>
      <c r="C816" s="9" t="s">
        <v>13</v>
      </c>
      <c r="D816" s="9">
        <v>1866</v>
      </c>
      <c r="E816" s="9" t="s">
        <v>14</v>
      </c>
      <c r="F816" s="12">
        <f>YEAR(Personal_Finance_Dataset[[#This Row],[Date]])</f>
        <v>2022</v>
      </c>
      <c r="G816">
        <f t="shared" si="12"/>
        <v>2022</v>
      </c>
    </row>
    <row r="817" spans="1:7" x14ac:dyDescent="0.25">
      <c r="A817" s="8">
        <v>44647</v>
      </c>
      <c r="B817" s="9" t="s">
        <v>832</v>
      </c>
      <c r="C817" s="9" t="s">
        <v>9</v>
      </c>
      <c r="D817" s="9">
        <v>382.33</v>
      </c>
      <c r="E817" s="9" t="s">
        <v>7</v>
      </c>
      <c r="F817" s="12">
        <f>YEAR(Personal_Finance_Dataset[[#This Row],[Date]])</f>
        <v>2022</v>
      </c>
      <c r="G817">
        <f t="shared" si="12"/>
        <v>2022</v>
      </c>
    </row>
    <row r="818" spans="1:7" x14ac:dyDescent="0.25">
      <c r="A818" s="8">
        <v>44648</v>
      </c>
      <c r="B818" s="9" t="s">
        <v>833</v>
      </c>
      <c r="C818" s="9" t="s">
        <v>6</v>
      </c>
      <c r="D818" s="9">
        <v>1732.39</v>
      </c>
      <c r="E818" s="9" t="s">
        <v>7</v>
      </c>
      <c r="F818" s="12">
        <f>YEAR(Personal_Finance_Dataset[[#This Row],[Date]])</f>
        <v>2022</v>
      </c>
      <c r="G818">
        <f t="shared" si="12"/>
        <v>2022</v>
      </c>
    </row>
    <row r="819" spans="1:7" x14ac:dyDescent="0.25">
      <c r="A819" s="8">
        <v>44649</v>
      </c>
      <c r="B819" s="9" t="s">
        <v>834</v>
      </c>
      <c r="C819" s="9" t="s">
        <v>27</v>
      </c>
      <c r="D819" s="9">
        <v>281.7</v>
      </c>
      <c r="E819" s="9" t="s">
        <v>7</v>
      </c>
      <c r="F819" s="12">
        <f>YEAR(Personal_Finance_Dataset[[#This Row],[Date]])</f>
        <v>2022</v>
      </c>
      <c r="G819">
        <f t="shared" si="12"/>
        <v>2022</v>
      </c>
    </row>
    <row r="820" spans="1:7" x14ac:dyDescent="0.25">
      <c r="A820" s="8">
        <v>44650</v>
      </c>
      <c r="B820" s="9" t="s">
        <v>835</v>
      </c>
      <c r="C820" s="9" t="s">
        <v>27</v>
      </c>
      <c r="D820" s="9">
        <v>824.18</v>
      </c>
      <c r="E820" s="9" t="s">
        <v>7</v>
      </c>
      <c r="F820" s="12">
        <f>YEAR(Personal_Finance_Dataset[[#This Row],[Date]])</f>
        <v>2022</v>
      </c>
      <c r="G820">
        <f t="shared" si="12"/>
        <v>2022</v>
      </c>
    </row>
    <row r="821" spans="1:7" x14ac:dyDescent="0.25">
      <c r="A821" s="8">
        <v>44651</v>
      </c>
      <c r="B821" s="9" t="s">
        <v>836</v>
      </c>
      <c r="C821" s="9" t="s">
        <v>27</v>
      </c>
      <c r="D821" s="9">
        <v>982.51</v>
      </c>
      <c r="E821" s="9" t="s">
        <v>7</v>
      </c>
      <c r="F821" s="12">
        <f>YEAR(Personal_Finance_Dataset[[#This Row],[Date]])</f>
        <v>2022</v>
      </c>
      <c r="G821">
        <f t="shared" si="12"/>
        <v>2022</v>
      </c>
    </row>
    <row r="822" spans="1:7" x14ac:dyDescent="0.25">
      <c r="A822" s="8">
        <v>44652</v>
      </c>
      <c r="B822" s="9" t="s">
        <v>837</v>
      </c>
      <c r="C822" s="9" t="s">
        <v>13</v>
      </c>
      <c r="D822" s="9">
        <v>2306</v>
      </c>
      <c r="E822" s="9" t="s">
        <v>14</v>
      </c>
      <c r="F822" s="12">
        <f>YEAR(Personal_Finance_Dataset[[#This Row],[Date]])</f>
        <v>2022</v>
      </c>
      <c r="G822">
        <f t="shared" si="12"/>
        <v>2022</v>
      </c>
    </row>
    <row r="823" spans="1:7" x14ac:dyDescent="0.25">
      <c r="A823" s="8">
        <v>44653</v>
      </c>
      <c r="B823" s="9" t="s">
        <v>838</v>
      </c>
      <c r="C823" s="9" t="s">
        <v>35</v>
      </c>
      <c r="D823" s="9">
        <v>457.44</v>
      </c>
      <c r="E823" s="9" t="s">
        <v>7</v>
      </c>
      <c r="F823" s="12">
        <f>YEAR(Personal_Finance_Dataset[[#This Row],[Date]])</f>
        <v>2022</v>
      </c>
      <c r="G823">
        <f t="shared" si="12"/>
        <v>2022</v>
      </c>
    </row>
    <row r="824" spans="1:7" x14ac:dyDescent="0.25">
      <c r="A824" s="8">
        <v>44654</v>
      </c>
      <c r="B824" s="9" t="s">
        <v>839</v>
      </c>
      <c r="C824" s="9" t="s">
        <v>27</v>
      </c>
      <c r="D824" s="9">
        <v>1135.6400000000001</v>
      </c>
      <c r="E824" s="9" t="s">
        <v>7</v>
      </c>
      <c r="F824" s="12">
        <f>YEAR(Personal_Finance_Dataset[[#This Row],[Date]])</f>
        <v>2022</v>
      </c>
      <c r="G824">
        <f t="shared" si="12"/>
        <v>2022</v>
      </c>
    </row>
    <row r="825" spans="1:7" x14ac:dyDescent="0.25">
      <c r="A825" s="8">
        <v>44655</v>
      </c>
      <c r="B825" s="9" t="s">
        <v>840</v>
      </c>
      <c r="C825" s="9" t="s">
        <v>27</v>
      </c>
      <c r="D825" s="9">
        <v>1103.96</v>
      </c>
      <c r="E825" s="9" t="s">
        <v>7</v>
      </c>
      <c r="F825" s="12">
        <f>YEAR(Personal_Finance_Dataset[[#This Row],[Date]])</f>
        <v>2022</v>
      </c>
      <c r="G825">
        <f t="shared" si="12"/>
        <v>2022</v>
      </c>
    </row>
    <row r="826" spans="1:7" x14ac:dyDescent="0.25">
      <c r="A826" s="8">
        <v>44656</v>
      </c>
      <c r="B826" s="9" t="s">
        <v>841</v>
      </c>
      <c r="C826" s="9" t="s">
        <v>13</v>
      </c>
      <c r="D826" s="9">
        <v>2694</v>
      </c>
      <c r="E826" s="9" t="s">
        <v>14</v>
      </c>
      <c r="F826" s="12">
        <f>YEAR(Personal_Finance_Dataset[[#This Row],[Date]])</f>
        <v>2022</v>
      </c>
      <c r="G826">
        <f t="shared" si="12"/>
        <v>2022</v>
      </c>
    </row>
    <row r="827" spans="1:7" x14ac:dyDescent="0.25">
      <c r="A827" s="8">
        <v>44657</v>
      </c>
      <c r="B827" s="9" t="s">
        <v>842</v>
      </c>
      <c r="C827" s="9" t="s">
        <v>25</v>
      </c>
      <c r="D827" s="9">
        <v>1088.67</v>
      </c>
      <c r="E827" s="9" t="s">
        <v>7</v>
      </c>
      <c r="F827" s="12">
        <f>YEAR(Personal_Finance_Dataset[[#This Row],[Date]])</f>
        <v>2022</v>
      </c>
      <c r="G827">
        <f t="shared" si="12"/>
        <v>2022</v>
      </c>
    </row>
    <row r="828" spans="1:7" x14ac:dyDescent="0.25">
      <c r="A828" s="8">
        <v>44658</v>
      </c>
      <c r="B828" s="9" t="s">
        <v>843</v>
      </c>
      <c r="C828" s="9" t="s">
        <v>27</v>
      </c>
      <c r="D828" s="9">
        <v>1097.24</v>
      </c>
      <c r="E828" s="9" t="s">
        <v>7</v>
      </c>
      <c r="F828" s="12">
        <f>YEAR(Personal_Finance_Dataset[[#This Row],[Date]])</f>
        <v>2022</v>
      </c>
      <c r="G828">
        <f t="shared" si="12"/>
        <v>2022</v>
      </c>
    </row>
    <row r="829" spans="1:7" x14ac:dyDescent="0.25">
      <c r="A829" s="8">
        <v>44659</v>
      </c>
      <c r="B829" s="9" t="s">
        <v>844</v>
      </c>
      <c r="C829" s="9" t="s">
        <v>11</v>
      </c>
      <c r="D829" s="9">
        <v>1474.62</v>
      </c>
      <c r="E829" s="9" t="s">
        <v>7</v>
      </c>
      <c r="F829" s="12">
        <f>YEAR(Personal_Finance_Dataset[[#This Row],[Date]])</f>
        <v>2022</v>
      </c>
      <c r="G829">
        <f t="shared" si="12"/>
        <v>2022</v>
      </c>
    </row>
    <row r="830" spans="1:7" x14ac:dyDescent="0.25">
      <c r="A830" s="8">
        <v>44660</v>
      </c>
      <c r="B830" s="9" t="s">
        <v>845</v>
      </c>
      <c r="C830" s="9" t="s">
        <v>22</v>
      </c>
      <c r="D830" s="9">
        <v>602.44000000000005</v>
      </c>
      <c r="E830" s="9" t="s">
        <v>7</v>
      </c>
      <c r="F830" s="12">
        <f>YEAR(Personal_Finance_Dataset[[#This Row],[Date]])</f>
        <v>2022</v>
      </c>
      <c r="G830">
        <f t="shared" si="12"/>
        <v>2022</v>
      </c>
    </row>
    <row r="831" spans="1:7" x14ac:dyDescent="0.25">
      <c r="A831" s="8">
        <v>44661</v>
      </c>
      <c r="B831" s="9" t="s">
        <v>846</v>
      </c>
      <c r="C831" s="9" t="s">
        <v>27</v>
      </c>
      <c r="D831" s="9">
        <v>533</v>
      </c>
      <c r="E831" s="9" t="s">
        <v>7</v>
      </c>
      <c r="F831" s="12">
        <f>YEAR(Personal_Finance_Dataset[[#This Row],[Date]])</f>
        <v>2022</v>
      </c>
      <c r="G831">
        <f t="shared" si="12"/>
        <v>2022</v>
      </c>
    </row>
    <row r="832" spans="1:7" x14ac:dyDescent="0.25">
      <c r="A832" s="8">
        <v>44662</v>
      </c>
      <c r="B832" s="9" t="s">
        <v>847</v>
      </c>
      <c r="C832" s="9" t="s">
        <v>11</v>
      </c>
      <c r="D832" s="9">
        <v>883.75</v>
      </c>
      <c r="E832" s="9" t="s">
        <v>7</v>
      </c>
      <c r="F832" s="12">
        <f>YEAR(Personal_Finance_Dataset[[#This Row],[Date]])</f>
        <v>2022</v>
      </c>
      <c r="G832">
        <f t="shared" si="12"/>
        <v>2022</v>
      </c>
    </row>
    <row r="833" spans="1:7" x14ac:dyDescent="0.25">
      <c r="A833" s="8">
        <v>44663</v>
      </c>
      <c r="B833" s="9" t="s">
        <v>848</v>
      </c>
      <c r="C833" s="9" t="s">
        <v>22</v>
      </c>
      <c r="D833" s="9">
        <v>427.66</v>
      </c>
      <c r="E833" s="9" t="s">
        <v>7</v>
      </c>
      <c r="F833" s="12">
        <f>YEAR(Personal_Finance_Dataset[[#This Row],[Date]])</f>
        <v>2022</v>
      </c>
      <c r="G833">
        <f t="shared" si="12"/>
        <v>2022</v>
      </c>
    </row>
    <row r="834" spans="1:7" x14ac:dyDescent="0.25">
      <c r="A834" s="8">
        <v>44664</v>
      </c>
      <c r="B834" s="9" t="s">
        <v>849</v>
      </c>
      <c r="C834" s="9" t="s">
        <v>25</v>
      </c>
      <c r="D834" s="9">
        <v>1723.49</v>
      </c>
      <c r="E834" s="9" t="s">
        <v>7</v>
      </c>
      <c r="F834" s="12">
        <f>YEAR(Personal_Finance_Dataset[[#This Row],[Date]])</f>
        <v>2022</v>
      </c>
      <c r="G834">
        <f t="shared" ref="G834:G897" si="13">YEAR(A834)</f>
        <v>2022</v>
      </c>
    </row>
    <row r="835" spans="1:7" x14ac:dyDescent="0.25">
      <c r="A835" s="8">
        <v>44665</v>
      </c>
      <c r="B835" s="9" t="s">
        <v>850</v>
      </c>
      <c r="C835" s="9" t="s">
        <v>17</v>
      </c>
      <c r="D835" s="9">
        <v>340.3</v>
      </c>
      <c r="E835" s="9" t="s">
        <v>7</v>
      </c>
      <c r="F835" s="12">
        <f>YEAR(Personal_Finance_Dataset[[#This Row],[Date]])</f>
        <v>2022</v>
      </c>
      <c r="G835">
        <f t="shared" si="13"/>
        <v>2022</v>
      </c>
    </row>
    <row r="836" spans="1:7" x14ac:dyDescent="0.25">
      <c r="A836" s="8">
        <v>44666</v>
      </c>
      <c r="B836" s="9" t="s">
        <v>851</v>
      </c>
      <c r="C836" s="9" t="s">
        <v>13</v>
      </c>
      <c r="D836" s="9">
        <v>2195</v>
      </c>
      <c r="E836" s="9" t="s">
        <v>14</v>
      </c>
      <c r="F836" s="12">
        <f>YEAR(Personal_Finance_Dataset[[#This Row],[Date]])</f>
        <v>2022</v>
      </c>
      <c r="G836">
        <f t="shared" si="13"/>
        <v>2022</v>
      </c>
    </row>
    <row r="837" spans="1:7" x14ac:dyDescent="0.25">
      <c r="A837" s="8">
        <v>44667</v>
      </c>
      <c r="B837" s="9" t="s">
        <v>852</v>
      </c>
      <c r="C837" s="9" t="s">
        <v>25</v>
      </c>
      <c r="D837" s="9">
        <v>1069.24</v>
      </c>
      <c r="E837" s="9" t="s">
        <v>7</v>
      </c>
      <c r="F837" s="12">
        <f>YEAR(Personal_Finance_Dataset[[#This Row],[Date]])</f>
        <v>2022</v>
      </c>
      <c r="G837">
        <f t="shared" si="13"/>
        <v>2022</v>
      </c>
    </row>
    <row r="838" spans="1:7" x14ac:dyDescent="0.25">
      <c r="A838" s="8">
        <v>44668</v>
      </c>
      <c r="B838" s="9" t="s">
        <v>853</v>
      </c>
      <c r="C838" s="9" t="s">
        <v>9</v>
      </c>
      <c r="D838" s="9">
        <v>654.07000000000005</v>
      </c>
      <c r="E838" s="9" t="s">
        <v>7</v>
      </c>
      <c r="F838" s="12">
        <f>YEAR(Personal_Finance_Dataset[[#This Row],[Date]])</f>
        <v>2022</v>
      </c>
      <c r="G838">
        <f t="shared" si="13"/>
        <v>2022</v>
      </c>
    </row>
    <row r="839" spans="1:7" x14ac:dyDescent="0.25">
      <c r="A839" s="8">
        <v>44669</v>
      </c>
      <c r="B839" s="9" t="s">
        <v>854</v>
      </c>
      <c r="C839" s="9" t="s">
        <v>35</v>
      </c>
      <c r="D839" s="9">
        <v>1149.74</v>
      </c>
      <c r="E839" s="9" t="s">
        <v>7</v>
      </c>
      <c r="F839" s="12">
        <f>YEAR(Personal_Finance_Dataset[[#This Row],[Date]])</f>
        <v>2022</v>
      </c>
      <c r="G839">
        <f t="shared" si="13"/>
        <v>2022</v>
      </c>
    </row>
    <row r="840" spans="1:7" x14ac:dyDescent="0.25">
      <c r="A840" s="8">
        <v>44670</v>
      </c>
      <c r="B840" s="9" t="s">
        <v>855</v>
      </c>
      <c r="C840" s="9" t="s">
        <v>11</v>
      </c>
      <c r="D840" s="9">
        <v>279.82</v>
      </c>
      <c r="E840" s="9" t="s">
        <v>7</v>
      </c>
      <c r="F840" s="12">
        <f>YEAR(Personal_Finance_Dataset[[#This Row],[Date]])</f>
        <v>2022</v>
      </c>
      <c r="G840">
        <f t="shared" si="13"/>
        <v>2022</v>
      </c>
    </row>
    <row r="841" spans="1:7" x14ac:dyDescent="0.25">
      <c r="A841" s="8">
        <v>44671</v>
      </c>
      <c r="B841" s="9" t="s">
        <v>856</v>
      </c>
      <c r="C841" s="9" t="s">
        <v>17</v>
      </c>
      <c r="D841" s="9">
        <v>1838.35</v>
      </c>
      <c r="E841" s="9" t="s">
        <v>7</v>
      </c>
      <c r="F841" s="12">
        <f>YEAR(Personal_Finance_Dataset[[#This Row],[Date]])</f>
        <v>2022</v>
      </c>
      <c r="G841">
        <f t="shared" si="13"/>
        <v>2022</v>
      </c>
    </row>
    <row r="842" spans="1:7" x14ac:dyDescent="0.25">
      <c r="A842" s="8">
        <v>44672</v>
      </c>
      <c r="B842" s="9" t="s">
        <v>857</v>
      </c>
      <c r="C842" s="9" t="s">
        <v>9</v>
      </c>
      <c r="D842" s="9">
        <v>1405.84</v>
      </c>
      <c r="E842" s="9" t="s">
        <v>7</v>
      </c>
      <c r="F842" s="12">
        <f>YEAR(Personal_Finance_Dataset[[#This Row],[Date]])</f>
        <v>2022</v>
      </c>
      <c r="G842">
        <f t="shared" si="13"/>
        <v>2022</v>
      </c>
    </row>
    <row r="843" spans="1:7" x14ac:dyDescent="0.25">
      <c r="A843" s="8">
        <v>44673</v>
      </c>
      <c r="B843" s="9" t="s">
        <v>858</v>
      </c>
      <c r="C843" s="9" t="s">
        <v>13</v>
      </c>
      <c r="D843" s="9">
        <v>3138</v>
      </c>
      <c r="E843" s="9" t="s">
        <v>14</v>
      </c>
      <c r="F843" s="12">
        <f>YEAR(Personal_Finance_Dataset[[#This Row],[Date]])</f>
        <v>2022</v>
      </c>
      <c r="G843">
        <f t="shared" si="13"/>
        <v>2022</v>
      </c>
    </row>
    <row r="844" spans="1:7" x14ac:dyDescent="0.25">
      <c r="A844" s="8">
        <v>44674</v>
      </c>
      <c r="B844" s="9" t="s">
        <v>859</v>
      </c>
      <c r="C844" s="9" t="s">
        <v>17</v>
      </c>
      <c r="D844" s="9">
        <v>984.02</v>
      </c>
      <c r="E844" s="9" t="s">
        <v>7</v>
      </c>
      <c r="F844" s="12">
        <f>YEAR(Personal_Finance_Dataset[[#This Row],[Date]])</f>
        <v>2022</v>
      </c>
      <c r="G844">
        <f t="shared" si="13"/>
        <v>2022</v>
      </c>
    </row>
    <row r="845" spans="1:7" x14ac:dyDescent="0.25">
      <c r="A845" s="8">
        <v>44675</v>
      </c>
      <c r="B845" s="9" t="s">
        <v>860</v>
      </c>
      <c r="C845" s="9" t="s">
        <v>35</v>
      </c>
      <c r="D845" s="9">
        <v>1259.3499999999999</v>
      </c>
      <c r="E845" s="9" t="s">
        <v>7</v>
      </c>
      <c r="F845" s="12">
        <f>YEAR(Personal_Finance_Dataset[[#This Row],[Date]])</f>
        <v>2022</v>
      </c>
      <c r="G845">
        <f t="shared" si="13"/>
        <v>2022</v>
      </c>
    </row>
    <row r="846" spans="1:7" x14ac:dyDescent="0.25">
      <c r="A846" s="8">
        <v>44676</v>
      </c>
      <c r="B846" s="9" t="s">
        <v>861</v>
      </c>
      <c r="C846" s="9" t="s">
        <v>11</v>
      </c>
      <c r="D846" s="9">
        <v>1270.92</v>
      </c>
      <c r="E846" s="9" t="s">
        <v>7</v>
      </c>
      <c r="F846" s="12">
        <f>YEAR(Personal_Finance_Dataset[[#This Row],[Date]])</f>
        <v>2022</v>
      </c>
      <c r="G846">
        <f t="shared" si="13"/>
        <v>2022</v>
      </c>
    </row>
    <row r="847" spans="1:7" x14ac:dyDescent="0.25">
      <c r="A847" s="8">
        <v>44677</v>
      </c>
      <c r="B847" s="9" t="s">
        <v>862</v>
      </c>
      <c r="C847" s="9" t="s">
        <v>11</v>
      </c>
      <c r="D847" s="9">
        <v>811.67</v>
      </c>
      <c r="E847" s="9" t="s">
        <v>7</v>
      </c>
      <c r="F847" s="12">
        <f>YEAR(Personal_Finance_Dataset[[#This Row],[Date]])</f>
        <v>2022</v>
      </c>
      <c r="G847">
        <f t="shared" si="13"/>
        <v>2022</v>
      </c>
    </row>
    <row r="848" spans="1:7" x14ac:dyDescent="0.25">
      <c r="A848" s="8">
        <v>44678</v>
      </c>
      <c r="B848" s="9" t="s">
        <v>863</v>
      </c>
      <c r="C848" s="9" t="s">
        <v>25</v>
      </c>
      <c r="D848" s="9">
        <v>914.84</v>
      </c>
      <c r="E848" s="9" t="s">
        <v>7</v>
      </c>
      <c r="F848" s="12">
        <f>YEAR(Personal_Finance_Dataset[[#This Row],[Date]])</f>
        <v>2022</v>
      </c>
      <c r="G848">
        <f t="shared" si="13"/>
        <v>2022</v>
      </c>
    </row>
    <row r="849" spans="1:7" x14ac:dyDescent="0.25">
      <c r="A849" s="8">
        <v>44679</v>
      </c>
      <c r="B849" s="9" t="s">
        <v>864</v>
      </c>
      <c r="C849" s="9" t="s">
        <v>6</v>
      </c>
      <c r="D849" s="9">
        <v>1739.13</v>
      </c>
      <c r="E849" s="9" t="s">
        <v>7</v>
      </c>
      <c r="F849" s="12">
        <f>YEAR(Personal_Finance_Dataset[[#This Row],[Date]])</f>
        <v>2022</v>
      </c>
      <c r="G849">
        <f t="shared" si="13"/>
        <v>2022</v>
      </c>
    </row>
    <row r="850" spans="1:7" x14ac:dyDescent="0.25">
      <c r="A850" s="8">
        <v>44680</v>
      </c>
      <c r="B850" s="9" t="s">
        <v>865</v>
      </c>
      <c r="C850" s="9" t="s">
        <v>11</v>
      </c>
      <c r="D850" s="9">
        <v>1464.55</v>
      </c>
      <c r="E850" s="9" t="s">
        <v>7</v>
      </c>
      <c r="F850" s="12">
        <f>YEAR(Personal_Finance_Dataset[[#This Row],[Date]])</f>
        <v>2022</v>
      </c>
      <c r="G850">
        <f t="shared" si="13"/>
        <v>2022</v>
      </c>
    </row>
    <row r="851" spans="1:7" x14ac:dyDescent="0.25">
      <c r="A851" s="8">
        <v>44681</v>
      </c>
      <c r="B851" s="9" t="s">
        <v>866</v>
      </c>
      <c r="C851" s="9" t="s">
        <v>25</v>
      </c>
      <c r="D851" s="9">
        <v>1701.71</v>
      </c>
      <c r="E851" s="9" t="s">
        <v>7</v>
      </c>
      <c r="F851" s="12">
        <f>YEAR(Personal_Finance_Dataset[[#This Row],[Date]])</f>
        <v>2022</v>
      </c>
      <c r="G851">
        <f t="shared" si="13"/>
        <v>2022</v>
      </c>
    </row>
    <row r="852" spans="1:7" x14ac:dyDescent="0.25">
      <c r="A852" s="8">
        <v>44682</v>
      </c>
      <c r="B852" s="9" t="s">
        <v>867</v>
      </c>
      <c r="C852" s="9" t="s">
        <v>17</v>
      </c>
      <c r="D852" s="9">
        <v>443.48</v>
      </c>
      <c r="E852" s="9" t="s">
        <v>7</v>
      </c>
      <c r="F852" s="12">
        <f>YEAR(Personal_Finance_Dataset[[#This Row],[Date]])</f>
        <v>2022</v>
      </c>
      <c r="G852">
        <f t="shared" si="13"/>
        <v>2022</v>
      </c>
    </row>
    <row r="853" spans="1:7" x14ac:dyDescent="0.25">
      <c r="A853" s="8">
        <v>44683</v>
      </c>
      <c r="B853" s="9" t="s">
        <v>868</v>
      </c>
      <c r="C853" s="9" t="s">
        <v>22</v>
      </c>
      <c r="D853" s="9">
        <v>994.48</v>
      </c>
      <c r="E853" s="9" t="s">
        <v>7</v>
      </c>
      <c r="F853" s="12">
        <f>YEAR(Personal_Finance_Dataset[[#This Row],[Date]])</f>
        <v>2022</v>
      </c>
      <c r="G853">
        <f t="shared" si="13"/>
        <v>2022</v>
      </c>
    </row>
    <row r="854" spans="1:7" x14ac:dyDescent="0.25">
      <c r="A854" s="8">
        <v>44684</v>
      </c>
      <c r="B854" s="9" t="s">
        <v>869</v>
      </c>
      <c r="C854" s="9" t="s">
        <v>35</v>
      </c>
      <c r="D854" s="9">
        <v>682.13</v>
      </c>
      <c r="E854" s="9" t="s">
        <v>7</v>
      </c>
      <c r="F854" s="12">
        <f>YEAR(Personal_Finance_Dataset[[#This Row],[Date]])</f>
        <v>2022</v>
      </c>
      <c r="G854">
        <f t="shared" si="13"/>
        <v>2022</v>
      </c>
    </row>
    <row r="855" spans="1:7" x14ac:dyDescent="0.25">
      <c r="A855" s="8">
        <v>44685</v>
      </c>
      <c r="B855" s="9" t="s">
        <v>870</v>
      </c>
      <c r="C855" s="9" t="s">
        <v>27</v>
      </c>
      <c r="D855" s="9">
        <v>1578.72</v>
      </c>
      <c r="E855" s="9" t="s">
        <v>7</v>
      </c>
      <c r="F855" s="12">
        <f>YEAR(Personal_Finance_Dataset[[#This Row],[Date]])</f>
        <v>2022</v>
      </c>
      <c r="G855">
        <f t="shared" si="13"/>
        <v>2022</v>
      </c>
    </row>
    <row r="856" spans="1:7" x14ac:dyDescent="0.25">
      <c r="A856" s="8">
        <v>44686</v>
      </c>
      <c r="B856" s="9" t="s">
        <v>871</v>
      </c>
      <c r="C856" s="9" t="s">
        <v>6</v>
      </c>
      <c r="D856" s="9">
        <v>101.43</v>
      </c>
      <c r="E856" s="9" t="s">
        <v>7</v>
      </c>
      <c r="F856" s="12">
        <f>YEAR(Personal_Finance_Dataset[[#This Row],[Date]])</f>
        <v>2022</v>
      </c>
      <c r="G856">
        <f t="shared" si="13"/>
        <v>2022</v>
      </c>
    </row>
    <row r="857" spans="1:7" x14ac:dyDescent="0.25">
      <c r="A857" s="8">
        <v>44687</v>
      </c>
      <c r="B857" s="9" t="s">
        <v>872</v>
      </c>
      <c r="C857" s="9" t="s">
        <v>27</v>
      </c>
      <c r="D857" s="9">
        <v>42.4</v>
      </c>
      <c r="E857" s="9" t="s">
        <v>7</v>
      </c>
      <c r="F857" s="12">
        <f>YEAR(Personal_Finance_Dataset[[#This Row],[Date]])</f>
        <v>2022</v>
      </c>
      <c r="G857">
        <f t="shared" si="13"/>
        <v>2022</v>
      </c>
    </row>
    <row r="858" spans="1:7" x14ac:dyDescent="0.25">
      <c r="A858" s="8">
        <v>44688</v>
      </c>
      <c r="B858" s="9" t="s">
        <v>873</v>
      </c>
      <c r="C858" s="9" t="s">
        <v>9</v>
      </c>
      <c r="D858" s="9">
        <v>888.16</v>
      </c>
      <c r="E858" s="9" t="s">
        <v>7</v>
      </c>
      <c r="F858" s="12">
        <f>YEAR(Personal_Finance_Dataset[[#This Row],[Date]])</f>
        <v>2022</v>
      </c>
      <c r="G858">
        <f t="shared" si="13"/>
        <v>2022</v>
      </c>
    </row>
    <row r="859" spans="1:7" x14ac:dyDescent="0.25">
      <c r="A859" s="8">
        <v>44689</v>
      </c>
      <c r="B859" s="9" t="s">
        <v>874</v>
      </c>
      <c r="C859" s="9" t="s">
        <v>20</v>
      </c>
      <c r="D859" s="9">
        <v>2157</v>
      </c>
      <c r="E859" s="9" t="s">
        <v>14</v>
      </c>
      <c r="F859" s="12">
        <f>YEAR(Personal_Finance_Dataset[[#This Row],[Date]])</f>
        <v>2022</v>
      </c>
      <c r="G859">
        <f t="shared" si="13"/>
        <v>2022</v>
      </c>
    </row>
    <row r="860" spans="1:7" x14ac:dyDescent="0.25">
      <c r="A860" s="8">
        <v>44690</v>
      </c>
      <c r="B860" s="9" t="s">
        <v>875</v>
      </c>
      <c r="C860" s="9" t="s">
        <v>9</v>
      </c>
      <c r="D860" s="9">
        <v>1765.47</v>
      </c>
      <c r="E860" s="9" t="s">
        <v>7</v>
      </c>
      <c r="F860" s="12">
        <f>YEAR(Personal_Finance_Dataset[[#This Row],[Date]])</f>
        <v>2022</v>
      </c>
      <c r="G860">
        <f t="shared" si="13"/>
        <v>2022</v>
      </c>
    </row>
    <row r="861" spans="1:7" x14ac:dyDescent="0.25">
      <c r="A861" s="8">
        <v>44691</v>
      </c>
      <c r="B861" s="9" t="s">
        <v>876</v>
      </c>
      <c r="C861" s="9" t="s">
        <v>35</v>
      </c>
      <c r="D861" s="9">
        <v>195.75</v>
      </c>
      <c r="E861" s="9" t="s">
        <v>7</v>
      </c>
      <c r="F861" s="12">
        <f>YEAR(Personal_Finance_Dataset[[#This Row],[Date]])</f>
        <v>2022</v>
      </c>
      <c r="G861">
        <f t="shared" si="13"/>
        <v>2022</v>
      </c>
    </row>
    <row r="862" spans="1:7" x14ac:dyDescent="0.25">
      <c r="A862" s="8">
        <v>44692</v>
      </c>
      <c r="B862" s="9" t="s">
        <v>877</v>
      </c>
      <c r="C862" s="9" t="s">
        <v>11</v>
      </c>
      <c r="D862" s="9">
        <v>749.97</v>
      </c>
      <c r="E862" s="9" t="s">
        <v>7</v>
      </c>
      <c r="F862" s="12">
        <f>YEAR(Personal_Finance_Dataset[[#This Row],[Date]])</f>
        <v>2022</v>
      </c>
      <c r="G862">
        <f t="shared" si="13"/>
        <v>2022</v>
      </c>
    </row>
    <row r="863" spans="1:7" x14ac:dyDescent="0.25">
      <c r="A863" s="8">
        <v>44693</v>
      </c>
      <c r="B863" s="9" t="s">
        <v>878</v>
      </c>
      <c r="C863" s="9" t="s">
        <v>9</v>
      </c>
      <c r="D863" s="9">
        <v>113.06</v>
      </c>
      <c r="E863" s="9" t="s">
        <v>7</v>
      </c>
      <c r="F863" s="12">
        <f>YEAR(Personal_Finance_Dataset[[#This Row],[Date]])</f>
        <v>2022</v>
      </c>
      <c r="G863">
        <f t="shared" si="13"/>
        <v>2022</v>
      </c>
    </row>
    <row r="864" spans="1:7" x14ac:dyDescent="0.25">
      <c r="A864" s="8">
        <v>44694</v>
      </c>
      <c r="B864" s="9" t="s">
        <v>879</v>
      </c>
      <c r="C864" s="9" t="s">
        <v>22</v>
      </c>
      <c r="D864" s="9">
        <v>864.17</v>
      </c>
      <c r="E864" s="9" t="s">
        <v>7</v>
      </c>
      <c r="F864" s="12">
        <f>YEAR(Personal_Finance_Dataset[[#This Row],[Date]])</f>
        <v>2022</v>
      </c>
      <c r="G864">
        <f t="shared" si="13"/>
        <v>2022</v>
      </c>
    </row>
    <row r="865" spans="1:7" x14ac:dyDescent="0.25">
      <c r="A865" s="8">
        <v>44695</v>
      </c>
      <c r="B865" s="9" t="s">
        <v>880</v>
      </c>
      <c r="C865" s="9" t="s">
        <v>13</v>
      </c>
      <c r="D865" s="9">
        <v>508</v>
      </c>
      <c r="E865" s="9" t="s">
        <v>14</v>
      </c>
      <c r="F865" s="12">
        <f>YEAR(Personal_Finance_Dataset[[#This Row],[Date]])</f>
        <v>2022</v>
      </c>
      <c r="G865">
        <f t="shared" si="13"/>
        <v>2022</v>
      </c>
    </row>
    <row r="866" spans="1:7" x14ac:dyDescent="0.25">
      <c r="A866" s="8">
        <v>44696</v>
      </c>
      <c r="B866" s="9" t="s">
        <v>881</v>
      </c>
      <c r="C866" s="9" t="s">
        <v>11</v>
      </c>
      <c r="D866" s="9">
        <v>274.07</v>
      </c>
      <c r="E866" s="9" t="s">
        <v>7</v>
      </c>
      <c r="F866" s="12">
        <f>YEAR(Personal_Finance_Dataset[[#This Row],[Date]])</f>
        <v>2022</v>
      </c>
      <c r="G866">
        <f t="shared" si="13"/>
        <v>2022</v>
      </c>
    </row>
    <row r="867" spans="1:7" x14ac:dyDescent="0.25">
      <c r="A867" s="8">
        <v>44697</v>
      </c>
      <c r="B867" s="9" t="s">
        <v>882</v>
      </c>
      <c r="C867" s="9" t="s">
        <v>27</v>
      </c>
      <c r="D867" s="9">
        <v>28.48</v>
      </c>
      <c r="E867" s="9" t="s">
        <v>7</v>
      </c>
      <c r="F867" s="12">
        <f>YEAR(Personal_Finance_Dataset[[#This Row],[Date]])</f>
        <v>2022</v>
      </c>
      <c r="G867">
        <f t="shared" si="13"/>
        <v>2022</v>
      </c>
    </row>
    <row r="868" spans="1:7" x14ac:dyDescent="0.25">
      <c r="A868" s="8">
        <v>44698</v>
      </c>
      <c r="B868" s="9" t="s">
        <v>883</v>
      </c>
      <c r="C868" s="9" t="s">
        <v>11</v>
      </c>
      <c r="D868" s="9">
        <v>1976.43</v>
      </c>
      <c r="E868" s="9" t="s">
        <v>7</v>
      </c>
      <c r="F868" s="12">
        <f>YEAR(Personal_Finance_Dataset[[#This Row],[Date]])</f>
        <v>2022</v>
      </c>
      <c r="G868">
        <f t="shared" si="13"/>
        <v>2022</v>
      </c>
    </row>
    <row r="869" spans="1:7" x14ac:dyDescent="0.25">
      <c r="A869" s="8">
        <v>44699</v>
      </c>
      <c r="B869" s="9" t="s">
        <v>884</v>
      </c>
      <c r="C869" s="9" t="s">
        <v>9</v>
      </c>
      <c r="D869" s="9">
        <v>960.62</v>
      </c>
      <c r="E869" s="9" t="s">
        <v>7</v>
      </c>
      <c r="F869" s="12">
        <f>YEAR(Personal_Finance_Dataset[[#This Row],[Date]])</f>
        <v>2022</v>
      </c>
      <c r="G869">
        <f t="shared" si="13"/>
        <v>2022</v>
      </c>
    </row>
    <row r="870" spans="1:7" x14ac:dyDescent="0.25">
      <c r="A870" s="8">
        <v>44700</v>
      </c>
      <c r="B870" s="9" t="s">
        <v>885</v>
      </c>
      <c r="C870" s="9" t="s">
        <v>11</v>
      </c>
      <c r="D870" s="9">
        <v>1464.22</v>
      </c>
      <c r="E870" s="9" t="s">
        <v>7</v>
      </c>
      <c r="F870" s="12">
        <f>YEAR(Personal_Finance_Dataset[[#This Row],[Date]])</f>
        <v>2022</v>
      </c>
      <c r="G870">
        <f t="shared" si="13"/>
        <v>2022</v>
      </c>
    </row>
    <row r="871" spans="1:7" x14ac:dyDescent="0.25">
      <c r="A871" s="8">
        <v>44701</v>
      </c>
      <c r="B871" s="9" t="s">
        <v>886</v>
      </c>
      <c r="C871" s="9" t="s">
        <v>20</v>
      </c>
      <c r="D871" s="9">
        <v>3511</v>
      </c>
      <c r="E871" s="9" t="s">
        <v>14</v>
      </c>
      <c r="F871" s="12">
        <f>YEAR(Personal_Finance_Dataset[[#This Row],[Date]])</f>
        <v>2022</v>
      </c>
      <c r="G871">
        <f t="shared" si="13"/>
        <v>2022</v>
      </c>
    </row>
    <row r="872" spans="1:7" x14ac:dyDescent="0.25">
      <c r="A872" s="8">
        <v>44702</v>
      </c>
      <c r="B872" s="9" t="s">
        <v>887</v>
      </c>
      <c r="C872" s="9" t="s">
        <v>9</v>
      </c>
      <c r="D872" s="9">
        <v>771.61</v>
      </c>
      <c r="E872" s="9" t="s">
        <v>7</v>
      </c>
      <c r="F872" s="12">
        <f>YEAR(Personal_Finance_Dataset[[#This Row],[Date]])</f>
        <v>2022</v>
      </c>
      <c r="G872">
        <f t="shared" si="13"/>
        <v>2022</v>
      </c>
    </row>
    <row r="873" spans="1:7" x14ac:dyDescent="0.25">
      <c r="A873" s="8">
        <v>44703</v>
      </c>
      <c r="B873" s="9" t="s">
        <v>888</v>
      </c>
      <c r="C873" s="9" t="s">
        <v>9</v>
      </c>
      <c r="D873" s="9">
        <v>1286.74</v>
      </c>
      <c r="E873" s="9" t="s">
        <v>7</v>
      </c>
      <c r="F873" s="12">
        <f>YEAR(Personal_Finance_Dataset[[#This Row],[Date]])</f>
        <v>2022</v>
      </c>
      <c r="G873">
        <f t="shared" si="13"/>
        <v>2022</v>
      </c>
    </row>
    <row r="874" spans="1:7" x14ac:dyDescent="0.25">
      <c r="A874" s="8">
        <v>44704</v>
      </c>
      <c r="B874" s="9" t="s">
        <v>889</v>
      </c>
      <c r="C874" s="9" t="s">
        <v>11</v>
      </c>
      <c r="D874" s="9">
        <v>1065.71</v>
      </c>
      <c r="E874" s="9" t="s">
        <v>7</v>
      </c>
      <c r="F874" s="12">
        <f>YEAR(Personal_Finance_Dataset[[#This Row],[Date]])</f>
        <v>2022</v>
      </c>
      <c r="G874">
        <f t="shared" si="13"/>
        <v>2022</v>
      </c>
    </row>
    <row r="875" spans="1:7" x14ac:dyDescent="0.25">
      <c r="A875" s="8">
        <v>44705</v>
      </c>
      <c r="B875" s="9" t="s">
        <v>890</v>
      </c>
      <c r="C875" s="9" t="s">
        <v>13</v>
      </c>
      <c r="D875" s="9">
        <v>4105</v>
      </c>
      <c r="E875" s="9" t="s">
        <v>14</v>
      </c>
      <c r="F875" s="12">
        <f>YEAR(Personal_Finance_Dataset[[#This Row],[Date]])</f>
        <v>2022</v>
      </c>
      <c r="G875">
        <f t="shared" si="13"/>
        <v>2022</v>
      </c>
    </row>
    <row r="876" spans="1:7" x14ac:dyDescent="0.25">
      <c r="A876" s="8">
        <v>44706</v>
      </c>
      <c r="B876" s="9" t="s">
        <v>891</v>
      </c>
      <c r="C876" s="9" t="s">
        <v>22</v>
      </c>
      <c r="D876" s="9">
        <v>1259.8800000000001</v>
      </c>
      <c r="E876" s="9" t="s">
        <v>7</v>
      </c>
      <c r="F876" s="12">
        <f>YEAR(Personal_Finance_Dataset[[#This Row],[Date]])</f>
        <v>2022</v>
      </c>
      <c r="G876">
        <f t="shared" si="13"/>
        <v>2022</v>
      </c>
    </row>
    <row r="877" spans="1:7" x14ac:dyDescent="0.25">
      <c r="A877" s="8">
        <v>44707</v>
      </c>
      <c r="B877" s="9" t="s">
        <v>892</v>
      </c>
      <c r="C877" s="9" t="s">
        <v>20</v>
      </c>
      <c r="D877" s="9">
        <v>4124</v>
      </c>
      <c r="E877" s="9" t="s">
        <v>14</v>
      </c>
      <c r="F877" s="12">
        <f>YEAR(Personal_Finance_Dataset[[#This Row],[Date]])</f>
        <v>2022</v>
      </c>
      <c r="G877">
        <f t="shared" si="13"/>
        <v>2022</v>
      </c>
    </row>
    <row r="878" spans="1:7" x14ac:dyDescent="0.25">
      <c r="A878" s="8">
        <v>44708</v>
      </c>
      <c r="B878" s="9" t="s">
        <v>893</v>
      </c>
      <c r="C878" s="9" t="s">
        <v>11</v>
      </c>
      <c r="D878" s="9">
        <v>1794.22</v>
      </c>
      <c r="E878" s="9" t="s">
        <v>7</v>
      </c>
      <c r="F878" s="12">
        <f>YEAR(Personal_Finance_Dataset[[#This Row],[Date]])</f>
        <v>2022</v>
      </c>
      <c r="G878">
        <f t="shared" si="13"/>
        <v>2022</v>
      </c>
    </row>
    <row r="879" spans="1:7" x14ac:dyDescent="0.25">
      <c r="A879" s="8">
        <v>44709</v>
      </c>
      <c r="B879" s="9" t="s">
        <v>894</v>
      </c>
      <c r="C879" s="9" t="s">
        <v>13</v>
      </c>
      <c r="D879" s="9">
        <v>3645</v>
      </c>
      <c r="E879" s="9" t="s">
        <v>14</v>
      </c>
      <c r="F879" s="12">
        <f>YEAR(Personal_Finance_Dataset[[#This Row],[Date]])</f>
        <v>2022</v>
      </c>
      <c r="G879">
        <f t="shared" si="13"/>
        <v>2022</v>
      </c>
    </row>
    <row r="880" spans="1:7" x14ac:dyDescent="0.25">
      <c r="A880" s="8">
        <v>44710</v>
      </c>
      <c r="B880" s="9" t="s">
        <v>895</v>
      </c>
      <c r="C880" s="9" t="s">
        <v>17</v>
      </c>
      <c r="D880" s="9">
        <v>635.86</v>
      </c>
      <c r="E880" s="9" t="s">
        <v>7</v>
      </c>
      <c r="F880" s="12">
        <f>YEAR(Personal_Finance_Dataset[[#This Row],[Date]])</f>
        <v>2022</v>
      </c>
      <c r="G880">
        <f t="shared" si="13"/>
        <v>2022</v>
      </c>
    </row>
    <row r="881" spans="1:7" x14ac:dyDescent="0.25">
      <c r="A881" s="8">
        <v>44711</v>
      </c>
      <c r="B881" s="9" t="s">
        <v>896</v>
      </c>
      <c r="C881" s="9" t="s">
        <v>20</v>
      </c>
      <c r="D881" s="9">
        <v>1190</v>
      </c>
      <c r="E881" s="9" t="s">
        <v>14</v>
      </c>
      <c r="F881" s="12">
        <f>YEAR(Personal_Finance_Dataset[[#This Row],[Date]])</f>
        <v>2022</v>
      </c>
      <c r="G881">
        <f t="shared" si="13"/>
        <v>2022</v>
      </c>
    </row>
    <row r="882" spans="1:7" x14ac:dyDescent="0.25">
      <c r="A882" s="8">
        <v>44712</v>
      </c>
      <c r="B882" s="9" t="s">
        <v>897</v>
      </c>
      <c r="C882" s="9" t="s">
        <v>35</v>
      </c>
      <c r="D882" s="9">
        <v>1560.15</v>
      </c>
      <c r="E882" s="9" t="s">
        <v>7</v>
      </c>
      <c r="F882" s="12">
        <f>YEAR(Personal_Finance_Dataset[[#This Row],[Date]])</f>
        <v>2022</v>
      </c>
      <c r="G882">
        <f t="shared" si="13"/>
        <v>2022</v>
      </c>
    </row>
    <row r="883" spans="1:7" x14ac:dyDescent="0.25">
      <c r="A883" s="8">
        <v>44713</v>
      </c>
      <c r="B883" s="9" t="s">
        <v>898</v>
      </c>
      <c r="C883" s="9" t="s">
        <v>35</v>
      </c>
      <c r="D883" s="9">
        <v>418.84</v>
      </c>
      <c r="E883" s="9" t="s">
        <v>7</v>
      </c>
      <c r="F883" s="12">
        <f>YEAR(Personal_Finance_Dataset[[#This Row],[Date]])</f>
        <v>2022</v>
      </c>
      <c r="G883">
        <f t="shared" si="13"/>
        <v>2022</v>
      </c>
    </row>
    <row r="884" spans="1:7" x14ac:dyDescent="0.25">
      <c r="A884" s="8">
        <v>44714</v>
      </c>
      <c r="B884" s="9" t="s">
        <v>899</v>
      </c>
      <c r="C884" s="9" t="s">
        <v>22</v>
      </c>
      <c r="D884" s="9">
        <v>1498.21</v>
      </c>
      <c r="E884" s="9" t="s">
        <v>7</v>
      </c>
      <c r="F884" s="12">
        <f>YEAR(Personal_Finance_Dataset[[#This Row],[Date]])</f>
        <v>2022</v>
      </c>
      <c r="G884">
        <f t="shared" si="13"/>
        <v>2022</v>
      </c>
    </row>
    <row r="885" spans="1:7" x14ac:dyDescent="0.25">
      <c r="A885" s="8">
        <v>44715</v>
      </c>
      <c r="B885" s="9" t="s">
        <v>900</v>
      </c>
      <c r="C885" s="9" t="s">
        <v>6</v>
      </c>
      <c r="D885" s="9">
        <v>1569.77</v>
      </c>
      <c r="E885" s="9" t="s">
        <v>7</v>
      </c>
      <c r="F885" s="12">
        <f>YEAR(Personal_Finance_Dataset[[#This Row],[Date]])</f>
        <v>2022</v>
      </c>
      <c r="G885">
        <f t="shared" si="13"/>
        <v>2022</v>
      </c>
    </row>
    <row r="886" spans="1:7" x14ac:dyDescent="0.25">
      <c r="A886" s="8">
        <v>44716</v>
      </c>
      <c r="B886" s="9" t="s">
        <v>901</v>
      </c>
      <c r="C886" s="9" t="s">
        <v>22</v>
      </c>
      <c r="D886" s="9">
        <v>994.83</v>
      </c>
      <c r="E886" s="9" t="s">
        <v>7</v>
      </c>
      <c r="F886" s="12">
        <f>YEAR(Personal_Finance_Dataset[[#This Row],[Date]])</f>
        <v>2022</v>
      </c>
      <c r="G886">
        <f t="shared" si="13"/>
        <v>2022</v>
      </c>
    </row>
    <row r="887" spans="1:7" x14ac:dyDescent="0.25">
      <c r="A887" s="8">
        <v>44717</v>
      </c>
      <c r="B887" s="9" t="s">
        <v>902</v>
      </c>
      <c r="C887" s="9" t="s">
        <v>20</v>
      </c>
      <c r="D887" s="9">
        <v>1081</v>
      </c>
      <c r="E887" s="9" t="s">
        <v>14</v>
      </c>
      <c r="F887" s="12">
        <f>YEAR(Personal_Finance_Dataset[[#This Row],[Date]])</f>
        <v>2022</v>
      </c>
      <c r="G887">
        <f t="shared" si="13"/>
        <v>2022</v>
      </c>
    </row>
    <row r="888" spans="1:7" x14ac:dyDescent="0.25">
      <c r="A888" s="8">
        <v>44718</v>
      </c>
      <c r="B888" s="9" t="s">
        <v>903</v>
      </c>
      <c r="C888" s="9" t="s">
        <v>6</v>
      </c>
      <c r="D888" s="9">
        <v>1973.9</v>
      </c>
      <c r="E888" s="9" t="s">
        <v>7</v>
      </c>
      <c r="F888" s="12">
        <f>YEAR(Personal_Finance_Dataset[[#This Row],[Date]])</f>
        <v>2022</v>
      </c>
      <c r="G888">
        <f t="shared" si="13"/>
        <v>2022</v>
      </c>
    </row>
    <row r="889" spans="1:7" x14ac:dyDescent="0.25">
      <c r="A889" s="8">
        <v>44719</v>
      </c>
      <c r="B889" s="9" t="s">
        <v>904</v>
      </c>
      <c r="C889" s="9" t="s">
        <v>9</v>
      </c>
      <c r="D889" s="9">
        <v>779.81</v>
      </c>
      <c r="E889" s="9" t="s">
        <v>7</v>
      </c>
      <c r="F889" s="12">
        <f>YEAR(Personal_Finance_Dataset[[#This Row],[Date]])</f>
        <v>2022</v>
      </c>
      <c r="G889">
        <f t="shared" si="13"/>
        <v>2022</v>
      </c>
    </row>
    <row r="890" spans="1:7" x14ac:dyDescent="0.25">
      <c r="A890" s="8">
        <v>44720</v>
      </c>
      <c r="B890" s="9" t="s">
        <v>905</v>
      </c>
      <c r="C890" s="9" t="s">
        <v>17</v>
      </c>
      <c r="D890" s="9">
        <v>737.17</v>
      </c>
      <c r="E890" s="9" t="s">
        <v>7</v>
      </c>
      <c r="F890" s="12">
        <f>YEAR(Personal_Finance_Dataset[[#This Row],[Date]])</f>
        <v>2022</v>
      </c>
      <c r="G890">
        <f t="shared" si="13"/>
        <v>2022</v>
      </c>
    </row>
    <row r="891" spans="1:7" x14ac:dyDescent="0.25">
      <c r="A891" s="8">
        <v>44721</v>
      </c>
      <c r="B891" s="9" t="s">
        <v>906</v>
      </c>
      <c r="C891" s="9" t="s">
        <v>27</v>
      </c>
      <c r="D891" s="9">
        <v>1909.36</v>
      </c>
      <c r="E891" s="9" t="s">
        <v>7</v>
      </c>
      <c r="F891" s="12">
        <f>YEAR(Personal_Finance_Dataset[[#This Row],[Date]])</f>
        <v>2022</v>
      </c>
      <c r="G891">
        <f t="shared" si="13"/>
        <v>2022</v>
      </c>
    </row>
    <row r="892" spans="1:7" x14ac:dyDescent="0.25">
      <c r="A892" s="8">
        <v>44722</v>
      </c>
      <c r="B892" s="9" t="s">
        <v>907</v>
      </c>
      <c r="C892" s="9" t="s">
        <v>6</v>
      </c>
      <c r="D892" s="9">
        <v>1178.8499999999999</v>
      </c>
      <c r="E892" s="9" t="s">
        <v>7</v>
      </c>
      <c r="F892" s="12">
        <f>YEAR(Personal_Finance_Dataset[[#This Row],[Date]])</f>
        <v>2022</v>
      </c>
      <c r="G892">
        <f t="shared" si="13"/>
        <v>2022</v>
      </c>
    </row>
    <row r="893" spans="1:7" x14ac:dyDescent="0.25">
      <c r="A893" s="8">
        <v>44723</v>
      </c>
      <c r="B893" s="9" t="s">
        <v>908</v>
      </c>
      <c r="C893" s="9" t="s">
        <v>13</v>
      </c>
      <c r="D893" s="9">
        <v>826</v>
      </c>
      <c r="E893" s="9" t="s">
        <v>14</v>
      </c>
      <c r="F893" s="12">
        <f>YEAR(Personal_Finance_Dataset[[#This Row],[Date]])</f>
        <v>2022</v>
      </c>
      <c r="G893">
        <f t="shared" si="13"/>
        <v>2022</v>
      </c>
    </row>
    <row r="894" spans="1:7" x14ac:dyDescent="0.25">
      <c r="A894" s="8">
        <v>44724</v>
      </c>
      <c r="B894" s="9" t="s">
        <v>909</v>
      </c>
      <c r="C894" s="9" t="s">
        <v>17</v>
      </c>
      <c r="D894" s="9">
        <v>1018.16</v>
      </c>
      <c r="E894" s="9" t="s">
        <v>7</v>
      </c>
      <c r="F894" s="12">
        <f>YEAR(Personal_Finance_Dataset[[#This Row],[Date]])</f>
        <v>2022</v>
      </c>
      <c r="G894">
        <f t="shared" si="13"/>
        <v>2022</v>
      </c>
    </row>
    <row r="895" spans="1:7" x14ac:dyDescent="0.25">
      <c r="A895" s="8">
        <v>44725</v>
      </c>
      <c r="B895" s="9" t="s">
        <v>910</v>
      </c>
      <c r="C895" s="9" t="s">
        <v>17</v>
      </c>
      <c r="D895" s="9">
        <v>852.91</v>
      </c>
      <c r="E895" s="9" t="s">
        <v>7</v>
      </c>
      <c r="F895" s="12">
        <f>YEAR(Personal_Finance_Dataset[[#This Row],[Date]])</f>
        <v>2022</v>
      </c>
      <c r="G895">
        <f t="shared" si="13"/>
        <v>2022</v>
      </c>
    </row>
    <row r="896" spans="1:7" x14ac:dyDescent="0.25">
      <c r="A896" s="8">
        <v>44726</v>
      </c>
      <c r="B896" s="9" t="s">
        <v>911</v>
      </c>
      <c r="C896" s="9" t="s">
        <v>9</v>
      </c>
      <c r="D896" s="9">
        <v>562.16</v>
      </c>
      <c r="E896" s="9" t="s">
        <v>7</v>
      </c>
      <c r="F896" s="12">
        <f>YEAR(Personal_Finance_Dataset[[#This Row],[Date]])</f>
        <v>2022</v>
      </c>
      <c r="G896">
        <f t="shared" si="13"/>
        <v>2022</v>
      </c>
    </row>
    <row r="897" spans="1:7" x14ac:dyDescent="0.25">
      <c r="A897" s="8">
        <v>44727</v>
      </c>
      <c r="B897" s="9" t="s">
        <v>912</v>
      </c>
      <c r="C897" s="9" t="s">
        <v>22</v>
      </c>
      <c r="D897" s="9">
        <v>1948.88</v>
      </c>
      <c r="E897" s="9" t="s">
        <v>7</v>
      </c>
      <c r="F897" s="12">
        <f>YEAR(Personal_Finance_Dataset[[#This Row],[Date]])</f>
        <v>2022</v>
      </c>
      <c r="G897">
        <f t="shared" si="13"/>
        <v>2022</v>
      </c>
    </row>
    <row r="898" spans="1:7" x14ac:dyDescent="0.25">
      <c r="A898" s="8">
        <v>44728</v>
      </c>
      <c r="B898" s="9" t="s">
        <v>913</v>
      </c>
      <c r="C898" s="9" t="s">
        <v>20</v>
      </c>
      <c r="D898" s="9">
        <v>3700</v>
      </c>
      <c r="E898" s="9" t="s">
        <v>14</v>
      </c>
      <c r="F898" s="12">
        <f>YEAR(Personal_Finance_Dataset[[#This Row],[Date]])</f>
        <v>2022</v>
      </c>
      <c r="G898">
        <f t="shared" ref="G898:G961" si="14">YEAR(A898)</f>
        <v>2022</v>
      </c>
    </row>
    <row r="899" spans="1:7" x14ac:dyDescent="0.25">
      <c r="A899" s="8">
        <v>44729</v>
      </c>
      <c r="B899" s="9" t="s">
        <v>914</v>
      </c>
      <c r="C899" s="9" t="s">
        <v>11</v>
      </c>
      <c r="D899" s="9">
        <v>627.24</v>
      </c>
      <c r="E899" s="9" t="s">
        <v>7</v>
      </c>
      <c r="F899" s="12">
        <f>YEAR(Personal_Finance_Dataset[[#This Row],[Date]])</f>
        <v>2022</v>
      </c>
      <c r="G899">
        <f t="shared" si="14"/>
        <v>2022</v>
      </c>
    </row>
    <row r="900" spans="1:7" x14ac:dyDescent="0.25">
      <c r="A900" s="8">
        <v>44730</v>
      </c>
      <c r="B900" s="9" t="s">
        <v>915</v>
      </c>
      <c r="C900" s="9" t="s">
        <v>22</v>
      </c>
      <c r="D900" s="9">
        <v>125.23</v>
      </c>
      <c r="E900" s="9" t="s">
        <v>7</v>
      </c>
      <c r="F900" s="12">
        <f>YEAR(Personal_Finance_Dataset[[#This Row],[Date]])</f>
        <v>2022</v>
      </c>
      <c r="G900">
        <f t="shared" si="14"/>
        <v>2022</v>
      </c>
    </row>
    <row r="901" spans="1:7" x14ac:dyDescent="0.25">
      <c r="A901" s="8">
        <v>44731</v>
      </c>
      <c r="B901" s="9" t="s">
        <v>916</v>
      </c>
      <c r="C901" s="9" t="s">
        <v>20</v>
      </c>
      <c r="D901" s="9">
        <v>1450</v>
      </c>
      <c r="E901" s="9" t="s">
        <v>14</v>
      </c>
      <c r="F901" s="12">
        <f>YEAR(Personal_Finance_Dataset[[#This Row],[Date]])</f>
        <v>2022</v>
      </c>
      <c r="G901">
        <f t="shared" si="14"/>
        <v>2022</v>
      </c>
    </row>
    <row r="902" spans="1:7" x14ac:dyDescent="0.25">
      <c r="A902" s="8">
        <v>44732</v>
      </c>
      <c r="B902" s="9" t="s">
        <v>917</v>
      </c>
      <c r="C902" s="9" t="s">
        <v>6</v>
      </c>
      <c r="D902" s="9">
        <v>625.49</v>
      </c>
      <c r="E902" s="9" t="s">
        <v>7</v>
      </c>
      <c r="F902" s="12">
        <f>YEAR(Personal_Finance_Dataset[[#This Row],[Date]])</f>
        <v>2022</v>
      </c>
      <c r="G902">
        <f t="shared" si="14"/>
        <v>2022</v>
      </c>
    </row>
    <row r="903" spans="1:7" x14ac:dyDescent="0.25">
      <c r="A903" s="8">
        <v>44733</v>
      </c>
      <c r="B903" s="9" t="s">
        <v>918</v>
      </c>
      <c r="C903" s="9" t="s">
        <v>9</v>
      </c>
      <c r="D903" s="9">
        <v>247.69</v>
      </c>
      <c r="E903" s="9" t="s">
        <v>7</v>
      </c>
      <c r="F903" s="12">
        <f>YEAR(Personal_Finance_Dataset[[#This Row],[Date]])</f>
        <v>2022</v>
      </c>
      <c r="G903">
        <f t="shared" si="14"/>
        <v>2022</v>
      </c>
    </row>
    <row r="904" spans="1:7" x14ac:dyDescent="0.25">
      <c r="A904" s="8">
        <v>44734</v>
      </c>
      <c r="B904" s="9" t="s">
        <v>919</v>
      </c>
      <c r="C904" s="9" t="s">
        <v>6</v>
      </c>
      <c r="D904" s="9">
        <v>336.03</v>
      </c>
      <c r="E904" s="9" t="s">
        <v>7</v>
      </c>
      <c r="F904" s="12">
        <f>YEAR(Personal_Finance_Dataset[[#This Row],[Date]])</f>
        <v>2022</v>
      </c>
      <c r="G904">
        <f t="shared" si="14"/>
        <v>2022</v>
      </c>
    </row>
    <row r="905" spans="1:7" x14ac:dyDescent="0.25">
      <c r="A905" s="8">
        <v>44735</v>
      </c>
      <c r="B905" s="9" t="s">
        <v>920</v>
      </c>
      <c r="C905" s="9" t="s">
        <v>35</v>
      </c>
      <c r="D905" s="9">
        <v>342.26</v>
      </c>
      <c r="E905" s="9" t="s">
        <v>7</v>
      </c>
      <c r="F905" s="12">
        <f>YEAR(Personal_Finance_Dataset[[#This Row],[Date]])</f>
        <v>2022</v>
      </c>
      <c r="G905">
        <f t="shared" si="14"/>
        <v>2022</v>
      </c>
    </row>
    <row r="906" spans="1:7" x14ac:dyDescent="0.25">
      <c r="A906" s="8">
        <v>44736</v>
      </c>
      <c r="B906" s="9" t="s">
        <v>921</v>
      </c>
      <c r="C906" s="9" t="s">
        <v>20</v>
      </c>
      <c r="D906" s="9">
        <v>1467</v>
      </c>
      <c r="E906" s="9" t="s">
        <v>14</v>
      </c>
      <c r="F906" s="12">
        <f>YEAR(Personal_Finance_Dataset[[#This Row],[Date]])</f>
        <v>2022</v>
      </c>
      <c r="G906">
        <f t="shared" si="14"/>
        <v>2022</v>
      </c>
    </row>
    <row r="907" spans="1:7" x14ac:dyDescent="0.25">
      <c r="A907" s="8">
        <v>44737</v>
      </c>
      <c r="B907" s="9" t="s">
        <v>922</v>
      </c>
      <c r="C907" s="9" t="s">
        <v>6</v>
      </c>
      <c r="D907" s="9">
        <v>676.67</v>
      </c>
      <c r="E907" s="9" t="s">
        <v>7</v>
      </c>
      <c r="F907" s="12">
        <f>YEAR(Personal_Finance_Dataset[[#This Row],[Date]])</f>
        <v>2022</v>
      </c>
      <c r="G907">
        <f t="shared" si="14"/>
        <v>2022</v>
      </c>
    </row>
    <row r="908" spans="1:7" x14ac:dyDescent="0.25">
      <c r="A908" s="8">
        <v>44738</v>
      </c>
      <c r="B908" s="9" t="s">
        <v>923</v>
      </c>
      <c r="C908" s="9" t="s">
        <v>11</v>
      </c>
      <c r="D908" s="9">
        <v>533.27</v>
      </c>
      <c r="E908" s="9" t="s">
        <v>7</v>
      </c>
      <c r="F908" s="12">
        <f>YEAR(Personal_Finance_Dataset[[#This Row],[Date]])</f>
        <v>2022</v>
      </c>
      <c r="G908">
        <f t="shared" si="14"/>
        <v>2022</v>
      </c>
    </row>
    <row r="909" spans="1:7" x14ac:dyDescent="0.25">
      <c r="A909" s="8">
        <v>44739</v>
      </c>
      <c r="B909" s="9" t="s">
        <v>924</v>
      </c>
      <c r="C909" s="9" t="s">
        <v>11</v>
      </c>
      <c r="D909" s="9">
        <v>997.33</v>
      </c>
      <c r="E909" s="9" t="s">
        <v>7</v>
      </c>
      <c r="F909" s="12">
        <f>YEAR(Personal_Finance_Dataset[[#This Row],[Date]])</f>
        <v>2022</v>
      </c>
      <c r="G909">
        <f t="shared" si="14"/>
        <v>2022</v>
      </c>
    </row>
    <row r="910" spans="1:7" x14ac:dyDescent="0.25">
      <c r="A910" s="8">
        <v>44740</v>
      </c>
      <c r="B910" s="9" t="s">
        <v>925</v>
      </c>
      <c r="C910" s="9" t="s">
        <v>6</v>
      </c>
      <c r="D910" s="9">
        <v>1004.22</v>
      </c>
      <c r="E910" s="9" t="s">
        <v>7</v>
      </c>
      <c r="F910" s="12">
        <f>YEAR(Personal_Finance_Dataset[[#This Row],[Date]])</f>
        <v>2022</v>
      </c>
      <c r="G910">
        <f t="shared" si="14"/>
        <v>2022</v>
      </c>
    </row>
    <row r="911" spans="1:7" x14ac:dyDescent="0.25">
      <c r="A911" s="8">
        <v>44741</v>
      </c>
      <c r="B911" s="9" t="s">
        <v>926</v>
      </c>
      <c r="C911" s="9" t="s">
        <v>25</v>
      </c>
      <c r="D911" s="9">
        <v>323.05</v>
      </c>
      <c r="E911" s="9" t="s">
        <v>7</v>
      </c>
      <c r="F911" s="12">
        <f>YEAR(Personal_Finance_Dataset[[#This Row],[Date]])</f>
        <v>2022</v>
      </c>
      <c r="G911">
        <f t="shared" si="14"/>
        <v>2022</v>
      </c>
    </row>
    <row r="912" spans="1:7" x14ac:dyDescent="0.25">
      <c r="A912" s="8">
        <v>44742</v>
      </c>
      <c r="B912" s="9" t="s">
        <v>927</v>
      </c>
      <c r="C912" s="9" t="s">
        <v>11</v>
      </c>
      <c r="D912" s="9">
        <v>464.52</v>
      </c>
      <c r="E912" s="9" t="s">
        <v>7</v>
      </c>
      <c r="F912" s="12">
        <f>YEAR(Personal_Finance_Dataset[[#This Row],[Date]])</f>
        <v>2022</v>
      </c>
      <c r="G912">
        <f t="shared" si="14"/>
        <v>2022</v>
      </c>
    </row>
    <row r="913" spans="1:7" x14ac:dyDescent="0.25">
      <c r="A913" s="8">
        <v>44743</v>
      </c>
      <c r="B913" s="9" t="s">
        <v>928</v>
      </c>
      <c r="C913" s="9" t="s">
        <v>6</v>
      </c>
      <c r="D913" s="9">
        <v>1718.79</v>
      </c>
      <c r="E913" s="9" t="s">
        <v>7</v>
      </c>
      <c r="F913" s="12">
        <f>YEAR(Personal_Finance_Dataset[[#This Row],[Date]])</f>
        <v>2022</v>
      </c>
      <c r="G913">
        <f t="shared" si="14"/>
        <v>2022</v>
      </c>
    </row>
    <row r="914" spans="1:7" x14ac:dyDescent="0.25">
      <c r="A914" s="8">
        <v>44744</v>
      </c>
      <c r="B914" s="9" t="s">
        <v>929</v>
      </c>
      <c r="C914" s="9" t="s">
        <v>13</v>
      </c>
      <c r="D914" s="9">
        <v>4364</v>
      </c>
      <c r="E914" s="9" t="s">
        <v>14</v>
      </c>
      <c r="F914" s="12">
        <f>YEAR(Personal_Finance_Dataset[[#This Row],[Date]])</f>
        <v>2022</v>
      </c>
      <c r="G914">
        <f t="shared" si="14"/>
        <v>2022</v>
      </c>
    </row>
    <row r="915" spans="1:7" x14ac:dyDescent="0.25">
      <c r="A915" s="8">
        <v>44745</v>
      </c>
      <c r="B915" s="9" t="s">
        <v>930</v>
      </c>
      <c r="C915" s="9" t="s">
        <v>9</v>
      </c>
      <c r="D915" s="9">
        <v>366.13</v>
      </c>
      <c r="E915" s="9" t="s">
        <v>7</v>
      </c>
      <c r="F915" s="12">
        <f>YEAR(Personal_Finance_Dataset[[#This Row],[Date]])</f>
        <v>2022</v>
      </c>
      <c r="G915">
        <f t="shared" si="14"/>
        <v>2022</v>
      </c>
    </row>
    <row r="916" spans="1:7" x14ac:dyDescent="0.25">
      <c r="A916" s="8">
        <v>44746</v>
      </c>
      <c r="B916" s="9" t="s">
        <v>931</v>
      </c>
      <c r="C916" s="9" t="s">
        <v>6</v>
      </c>
      <c r="D916" s="9">
        <v>1110.2</v>
      </c>
      <c r="E916" s="9" t="s">
        <v>7</v>
      </c>
      <c r="F916" s="12">
        <f>YEAR(Personal_Finance_Dataset[[#This Row],[Date]])</f>
        <v>2022</v>
      </c>
      <c r="G916">
        <f t="shared" si="14"/>
        <v>2022</v>
      </c>
    </row>
    <row r="917" spans="1:7" x14ac:dyDescent="0.25">
      <c r="A917" s="8">
        <v>44747</v>
      </c>
      <c r="B917" s="9" t="s">
        <v>932</v>
      </c>
      <c r="C917" s="9" t="s">
        <v>17</v>
      </c>
      <c r="D917" s="9">
        <v>456.79</v>
      </c>
      <c r="E917" s="9" t="s">
        <v>7</v>
      </c>
      <c r="F917" s="12">
        <f>YEAR(Personal_Finance_Dataset[[#This Row],[Date]])</f>
        <v>2022</v>
      </c>
      <c r="G917">
        <f t="shared" si="14"/>
        <v>2022</v>
      </c>
    </row>
    <row r="918" spans="1:7" x14ac:dyDescent="0.25">
      <c r="A918" s="8">
        <v>44748</v>
      </c>
      <c r="B918" s="9" t="s">
        <v>933</v>
      </c>
      <c r="C918" s="9" t="s">
        <v>25</v>
      </c>
      <c r="D918" s="9">
        <v>549.79999999999995</v>
      </c>
      <c r="E918" s="9" t="s">
        <v>7</v>
      </c>
      <c r="F918" s="12">
        <f>YEAR(Personal_Finance_Dataset[[#This Row],[Date]])</f>
        <v>2022</v>
      </c>
      <c r="G918">
        <f t="shared" si="14"/>
        <v>2022</v>
      </c>
    </row>
    <row r="919" spans="1:7" x14ac:dyDescent="0.25">
      <c r="A919" s="8">
        <v>44749</v>
      </c>
      <c r="B919" s="9" t="s">
        <v>934</v>
      </c>
      <c r="C919" s="9" t="s">
        <v>20</v>
      </c>
      <c r="D919" s="9">
        <v>1478</v>
      </c>
      <c r="E919" s="9" t="s">
        <v>14</v>
      </c>
      <c r="F919" s="12">
        <f>YEAR(Personal_Finance_Dataset[[#This Row],[Date]])</f>
        <v>2022</v>
      </c>
      <c r="G919">
        <f t="shared" si="14"/>
        <v>2022</v>
      </c>
    </row>
    <row r="920" spans="1:7" x14ac:dyDescent="0.25">
      <c r="A920" s="8">
        <v>44750</v>
      </c>
      <c r="B920" s="9" t="s">
        <v>935</v>
      </c>
      <c r="C920" s="9" t="s">
        <v>6</v>
      </c>
      <c r="D920" s="9">
        <v>366.9</v>
      </c>
      <c r="E920" s="9" t="s">
        <v>7</v>
      </c>
      <c r="F920" s="12">
        <f>YEAR(Personal_Finance_Dataset[[#This Row],[Date]])</f>
        <v>2022</v>
      </c>
      <c r="G920">
        <f t="shared" si="14"/>
        <v>2022</v>
      </c>
    </row>
    <row r="921" spans="1:7" x14ac:dyDescent="0.25">
      <c r="A921" s="8">
        <v>44751</v>
      </c>
      <c r="B921" s="9" t="s">
        <v>936</v>
      </c>
      <c r="C921" s="9" t="s">
        <v>6</v>
      </c>
      <c r="D921" s="9">
        <v>1908.62</v>
      </c>
      <c r="E921" s="9" t="s">
        <v>7</v>
      </c>
      <c r="F921" s="12">
        <f>YEAR(Personal_Finance_Dataset[[#This Row],[Date]])</f>
        <v>2022</v>
      </c>
      <c r="G921">
        <f t="shared" si="14"/>
        <v>2022</v>
      </c>
    </row>
    <row r="922" spans="1:7" x14ac:dyDescent="0.25">
      <c r="A922" s="8">
        <v>44752</v>
      </c>
      <c r="B922" s="9" t="s">
        <v>937</v>
      </c>
      <c r="C922" s="9" t="s">
        <v>20</v>
      </c>
      <c r="D922" s="9">
        <v>2812</v>
      </c>
      <c r="E922" s="9" t="s">
        <v>14</v>
      </c>
      <c r="F922" s="12">
        <f>YEAR(Personal_Finance_Dataset[[#This Row],[Date]])</f>
        <v>2022</v>
      </c>
      <c r="G922">
        <f t="shared" si="14"/>
        <v>2022</v>
      </c>
    </row>
    <row r="923" spans="1:7" x14ac:dyDescent="0.25">
      <c r="A923" s="8">
        <v>44753</v>
      </c>
      <c r="B923" s="9" t="s">
        <v>938</v>
      </c>
      <c r="C923" s="9" t="s">
        <v>35</v>
      </c>
      <c r="D923" s="9">
        <v>661.33</v>
      </c>
      <c r="E923" s="9" t="s">
        <v>7</v>
      </c>
      <c r="F923" s="12">
        <f>YEAR(Personal_Finance_Dataset[[#This Row],[Date]])</f>
        <v>2022</v>
      </c>
      <c r="G923">
        <f t="shared" si="14"/>
        <v>2022</v>
      </c>
    </row>
    <row r="924" spans="1:7" x14ac:dyDescent="0.25">
      <c r="A924" s="8">
        <v>44754</v>
      </c>
      <c r="B924" s="9" t="s">
        <v>939</v>
      </c>
      <c r="C924" s="9" t="s">
        <v>6</v>
      </c>
      <c r="D924" s="9">
        <v>744.15</v>
      </c>
      <c r="E924" s="9" t="s">
        <v>7</v>
      </c>
      <c r="F924" s="12">
        <f>YEAR(Personal_Finance_Dataset[[#This Row],[Date]])</f>
        <v>2022</v>
      </c>
      <c r="G924">
        <f t="shared" si="14"/>
        <v>2022</v>
      </c>
    </row>
    <row r="925" spans="1:7" x14ac:dyDescent="0.25">
      <c r="A925" s="8">
        <v>44755</v>
      </c>
      <c r="B925" s="9" t="s">
        <v>940</v>
      </c>
      <c r="C925" s="9" t="s">
        <v>35</v>
      </c>
      <c r="D925" s="9">
        <v>1481.76</v>
      </c>
      <c r="E925" s="9" t="s">
        <v>7</v>
      </c>
      <c r="F925" s="12">
        <f>YEAR(Personal_Finance_Dataset[[#This Row],[Date]])</f>
        <v>2022</v>
      </c>
      <c r="G925">
        <f t="shared" si="14"/>
        <v>2022</v>
      </c>
    </row>
    <row r="926" spans="1:7" x14ac:dyDescent="0.25">
      <c r="A926" s="8">
        <v>44756</v>
      </c>
      <c r="B926" s="9" t="s">
        <v>941</v>
      </c>
      <c r="C926" s="9" t="s">
        <v>25</v>
      </c>
      <c r="D926" s="9">
        <v>1187.46</v>
      </c>
      <c r="E926" s="9" t="s">
        <v>7</v>
      </c>
      <c r="F926" s="12">
        <f>YEAR(Personal_Finance_Dataset[[#This Row],[Date]])</f>
        <v>2022</v>
      </c>
      <c r="G926">
        <f t="shared" si="14"/>
        <v>2022</v>
      </c>
    </row>
    <row r="927" spans="1:7" x14ac:dyDescent="0.25">
      <c r="A927" s="8">
        <v>44757</v>
      </c>
      <c r="B927" s="9" t="s">
        <v>942</v>
      </c>
      <c r="C927" s="9" t="s">
        <v>22</v>
      </c>
      <c r="D927" s="9">
        <v>1467.6</v>
      </c>
      <c r="E927" s="9" t="s">
        <v>7</v>
      </c>
      <c r="F927" s="12">
        <f>YEAR(Personal_Finance_Dataset[[#This Row],[Date]])</f>
        <v>2022</v>
      </c>
      <c r="G927">
        <f t="shared" si="14"/>
        <v>2022</v>
      </c>
    </row>
    <row r="928" spans="1:7" x14ac:dyDescent="0.25">
      <c r="A928" s="8">
        <v>44758</v>
      </c>
      <c r="B928" s="9" t="s">
        <v>943</v>
      </c>
      <c r="C928" s="9" t="s">
        <v>22</v>
      </c>
      <c r="D928" s="9">
        <v>309.63</v>
      </c>
      <c r="E928" s="9" t="s">
        <v>7</v>
      </c>
      <c r="F928" s="12">
        <f>YEAR(Personal_Finance_Dataset[[#This Row],[Date]])</f>
        <v>2022</v>
      </c>
      <c r="G928">
        <f t="shared" si="14"/>
        <v>2022</v>
      </c>
    </row>
    <row r="929" spans="1:7" x14ac:dyDescent="0.25">
      <c r="A929" s="8">
        <v>44759</v>
      </c>
      <c r="B929" s="9" t="s">
        <v>944</v>
      </c>
      <c r="C929" s="9" t="s">
        <v>6</v>
      </c>
      <c r="D929" s="9">
        <v>473.67</v>
      </c>
      <c r="E929" s="9" t="s">
        <v>7</v>
      </c>
      <c r="F929" s="12">
        <f>YEAR(Personal_Finance_Dataset[[#This Row],[Date]])</f>
        <v>2022</v>
      </c>
      <c r="G929">
        <f t="shared" si="14"/>
        <v>2022</v>
      </c>
    </row>
    <row r="930" spans="1:7" x14ac:dyDescent="0.25">
      <c r="A930" s="8">
        <v>44760</v>
      </c>
      <c r="B930" s="9" t="s">
        <v>945</v>
      </c>
      <c r="C930" s="9" t="s">
        <v>6</v>
      </c>
      <c r="D930" s="9">
        <v>1902.47</v>
      </c>
      <c r="E930" s="9" t="s">
        <v>7</v>
      </c>
      <c r="F930" s="12">
        <f>YEAR(Personal_Finance_Dataset[[#This Row],[Date]])</f>
        <v>2022</v>
      </c>
      <c r="G930">
        <f t="shared" si="14"/>
        <v>2022</v>
      </c>
    </row>
    <row r="931" spans="1:7" x14ac:dyDescent="0.25">
      <c r="A931" s="8">
        <v>44761</v>
      </c>
      <c r="B931" s="9" t="s">
        <v>946</v>
      </c>
      <c r="C931" s="9" t="s">
        <v>20</v>
      </c>
      <c r="D931" s="9">
        <v>3019</v>
      </c>
      <c r="E931" s="9" t="s">
        <v>14</v>
      </c>
      <c r="F931" s="12">
        <f>YEAR(Personal_Finance_Dataset[[#This Row],[Date]])</f>
        <v>2022</v>
      </c>
      <c r="G931">
        <f t="shared" si="14"/>
        <v>2022</v>
      </c>
    </row>
    <row r="932" spans="1:7" x14ac:dyDescent="0.25">
      <c r="A932" s="8">
        <v>44762</v>
      </c>
      <c r="B932" s="9" t="s">
        <v>947</v>
      </c>
      <c r="C932" s="9" t="s">
        <v>13</v>
      </c>
      <c r="D932" s="9">
        <v>3939</v>
      </c>
      <c r="E932" s="9" t="s">
        <v>14</v>
      </c>
      <c r="F932" s="12">
        <f>YEAR(Personal_Finance_Dataset[[#This Row],[Date]])</f>
        <v>2022</v>
      </c>
      <c r="G932">
        <f t="shared" si="14"/>
        <v>2022</v>
      </c>
    </row>
    <row r="933" spans="1:7" x14ac:dyDescent="0.25">
      <c r="A933" s="8">
        <v>44763</v>
      </c>
      <c r="B933" s="9" t="s">
        <v>948</v>
      </c>
      <c r="C933" s="9" t="s">
        <v>6</v>
      </c>
      <c r="D933" s="9">
        <v>1945.39</v>
      </c>
      <c r="E933" s="9" t="s">
        <v>7</v>
      </c>
      <c r="F933" s="12">
        <f>YEAR(Personal_Finance_Dataset[[#This Row],[Date]])</f>
        <v>2022</v>
      </c>
      <c r="G933">
        <f t="shared" si="14"/>
        <v>2022</v>
      </c>
    </row>
    <row r="934" spans="1:7" x14ac:dyDescent="0.25">
      <c r="A934" s="8">
        <v>44764</v>
      </c>
      <c r="B934" s="9" t="s">
        <v>949</v>
      </c>
      <c r="C934" s="9" t="s">
        <v>20</v>
      </c>
      <c r="D934" s="9">
        <v>1262</v>
      </c>
      <c r="E934" s="9" t="s">
        <v>14</v>
      </c>
      <c r="F934" s="12">
        <f>YEAR(Personal_Finance_Dataset[[#This Row],[Date]])</f>
        <v>2022</v>
      </c>
      <c r="G934">
        <f t="shared" si="14"/>
        <v>2022</v>
      </c>
    </row>
    <row r="935" spans="1:7" x14ac:dyDescent="0.25">
      <c r="A935" s="8">
        <v>44765</v>
      </c>
      <c r="B935" s="9" t="s">
        <v>950</v>
      </c>
      <c r="C935" s="9" t="s">
        <v>13</v>
      </c>
      <c r="D935" s="9">
        <v>4757</v>
      </c>
      <c r="E935" s="9" t="s">
        <v>14</v>
      </c>
      <c r="F935" s="12">
        <f>YEAR(Personal_Finance_Dataset[[#This Row],[Date]])</f>
        <v>2022</v>
      </c>
      <c r="G935">
        <f t="shared" si="14"/>
        <v>2022</v>
      </c>
    </row>
    <row r="936" spans="1:7" x14ac:dyDescent="0.25">
      <c r="A936" s="8">
        <v>44766</v>
      </c>
      <c r="B936" s="9" t="s">
        <v>951</v>
      </c>
      <c r="C936" s="9" t="s">
        <v>25</v>
      </c>
      <c r="D936" s="9">
        <v>922.33</v>
      </c>
      <c r="E936" s="9" t="s">
        <v>7</v>
      </c>
      <c r="F936" s="12">
        <f>YEAR(Personal_Finance_Dataset[[#This Row],[Date]])</f>
        <v>2022</v>
      </c>
      <c r="G936">
        <f t="shared" si="14"/>
        <v>2022</v>
      </c>
    </row>
    <row r="937" spans="1:7" x14ac:dyDescent="0.25">
      <c r="A937" s="8">
        <v>44767</v>
      </c>
      <c r="B937" s="9" t="s">
        <v>952</v>
      </c>
      <c r="C937" s="9" t="s">
        <v>11</v>
      </c>
      <c r="D937" s="9">
        <v>1015.8</v>
      </c>
      <c r="E937" s="9" t="s">
        <v>7</v>
      </c>
      <c r="F937" s="12">
        <f>YEAR(Personal_Finance_Dataset[[#This Row],[Date]])</f>
        <v>2022</v>
      </c>
      <c r="G937">
        <f t="shared" si="14"/>
        <v>2022</v>
      </c>
    </row>
    <row r="938" spans="1:7" x14ac:dyDescent="0.25">
      <c r="A938" s="8">
        <v>44768</v>
      </c>
      <c r="B938" s="9" t="s">
        <v>953</v>
      </c>
      <c r="C938" s="9" t="s">
        <v>17</v>
      </c>
      <c r="D938" s="9">
        <v>158.91</v>
      </c>
      <c r="E938" s="9" t="s">
        <v>7</v>
      </c>
      <c r="F938" s="12">
        <f>YEAR(Personal_Finance_Dataset[[#This Row],[Date]])</f>
        <v>2022</v>
      </c>
      <c r="G938">
        <f t="shared" si="14"/>
        <v>2022</v>
      </c>
    </row>
    <row r="939" spans="1:7" x14ac:dyDescent="0.25">
      <c r="A939" s="8">
        <v>44769</v>
      </c>
      <c r="B939" s="9" t="s">
        <v>954</v>
      </c>
      <c r="C939" s="9" t="s">
        <v>17</v>
      </c>
      <c r="D939" s="9">
        <v>1328.26</v>
      </c>
      <c r="E939" s="9" t="s">
        <v>7</v>
      </c>
      <c r="F939" s="12">
        <f>YEAR(Personal_Finance_Dataset[[#This Row],[Date]])</f>
        <v>2022</v>
      </c>
      <c r="G939">
        <f t="shared" si="14"/>
        <v>2022</v>
      </c>
    </row>
    <row r="940" spans="1:7" x14ac:dyDescent="0.25">
      <c r="A940" s="8">
        <v>44770</v>
      </c>
      <c r="B940" s="9" t="s">
        <v>955</v>
      </c>
      <c r="C940" s="9" t="s">
        <v>20</v>
      </c>
      <c r="D940" s="9">
        <v>2638</v>
      </c>
      <c r="E940" s="9" t="s">
        <v>14</v>
      </c>
      <c r="F940" s="12">
        <f>YEAR(Personal_Finance_Dataset[[#This Row],[Date]])</f>
        <v>2022</v>
      </c>
      <c r="G940">
        <f t="shared" si="14"/>
        <v>2022</v>
      </c>
    </row>
    <row r="941" spans="1:7" x14ac:dyDescent="0.25">
      <c r="A941" s="8">
        <v>44771</v>
      </c>
      <c r="B941" s="9" t="s">
        <v>956</v>
      </c>
      <c r="C941" s="9" t="s">
        <v>17</v>
      </c>
      <c r="D941" s="9">
        <v>1404.44</v>
      </c>
      <c r="E941" s="9" t="s">
        <v>7</v>
      </c>
      <c r="F941" s="12">
        <f>YEAR(Personal_Finance_Dataset[[#This Row],[Date]])</f>
        <v>2022</v>
      </c>
      <c r="G941">
        <f t="shared" si="14"/>
        <v>2022</v>
      </c>
    </row>
    <row r="942" spans="1:7" x14ac:dyDescent="0.25">
      <c r="A942" s="8">
        <v>44772</v>
      </c>
      <c r="B942" s="9" t="s">
        <v>957</v>
      </c>
      <c r="C942" s="9" t="s">
        <v>25</v>
      </c>
      <c r="D942" s="9">
        <v>910.99</v>
      </c>
      <c r="E942" s="9" t="s">
        <v>7</v>
      </c>
      <c r="F942" s="12">
        <f>YEAR(Personal_Finance_Dataset[[#This Row],[Date]])</f>
        <v>2022</v>
      </c>
      <c r="G942">
        <f t="shared" si="14"/>
        <v>2022</v>
      </c>
    </row>
    <row r="943" spans="1:7" x14ac:dyDescent="0.25">
      <c r="A943" s="8">
        <v>44773</v>
      </c>
      <c r="B943" s="9" t="s">
        <v>958</v>
      </c>
      <c r="C943" s="9" t="s">
        <v>22</v>
      </c>
      <c r="D943" s="9">
        <v>280.86</v>
      </c>
      <c r="E943" s="9" t="s">
        <v>7</v>
      </c>
      <c r="F943" s="12">
        <f>YEAR(Personal_Finance_Dataset[[#This Row],[Date]])</f>
        <v>2022</v>
      </c>
      <c r="G943">
        <f t="shared" si="14"/>
        <v>2022</v>
      </c>
    </row>
    <row r="944" spans="1:7" x14ac:dyDescent="0.25">
      <c r="A944" s="8">
        <v>44774</v>
      </c>
      <c r="B944" s="9" t="s">
        <v>959</v>
      </c>
      <c r="C944" s="9" t="s">
        <v>11</v>
      </c>
      <c r="D944" s="9">
        <v>319.27</v>
      </c>
      <c r="E944" s="9" t="s">
        <v>7</v>
      </c>
      <c r="F944" s="12">
        <f>YEAR(Personal_Finance_Dataset[[#This Row],[Date]])</f>
        <v>2022</v>
      </c>
      <c r="G944">
        <f t="shared" si="14"/>
        <v>2022</v>
      </c>
    </row>
    <row r="945" spans="1:7" x14ac:dyDescent="0.25">
      <c r="A945" s="8">
        <v>44775</v>
      </c>
      <c r="B945" s="9" t="s">
        <v>960</v>
      </c>
      <c r="C945" s="9" t="s">
        <v>20</v>
      </c>
      <c r="D945" s="9">
        <v>3072</v>
      </c>
      <c r="E945" s="9" t="s">
        <v>14</v>
      </c>
      <c r="F945" s="12">
        <f>YEAR(Personal_Finance_Dataset[[#This Row],[Date]])</f>
        <v>2022</v>
      </c>
      <c r="G945">
        <f t="shared" si="14"/>
        <v>2022</v>
      </c>
    </row>
    <row r="946" spans="1:7" x14ac:dyDescent="0.25">
      <c r="A946" s="8">
        <v>44776</v>
      </c>
      <c r="B946" s="9" t="s">
        <v>961</v>
      </c>
      <c r="C946" s="9" t="s">
        <v>25</v>
      </c>
      <c r="D946" s="9">
        <v>1929.62</v>
      </c>
      <c r="E946" s="9" t="s">
        <v>7</v>
      </c>
      <c r="F946" s="12">
        <f>YEAR(Personal_Finance_Dataset[[#This Row],[Date]])</f>
        <v>2022</v>
      </c>
      <c r="G946">
        <f t="shared" si="14"/>
        <v>2022</v>
      </c>
    </row>
    <row r="947" spans="1:7" x14ac:dyDescent="0.25">
      <c r="A947" s="8">
        <v>44777</v>
      </c>
      <c r="B947" s="9" t="s">
        <v>962</v>
      </c>
      <c r="C947" s="9" t="s">
        <v>35</v>
      </c>
      <c r="D947" s="9">
        <v>932.06</v>
      </c>
      <c r="E947" s="9" t="s">
        <v>7</v>
      </c>
      <c r="F947" s="12">
        <f>YEAR(Personal_Finance_Dataset[[#This Row],[Date]])</f>
        <v>2022</v>
      </c>
      <c r="G947">
        <f t="shared" si="14"/>
        <v>2022</v>
      </c>
    </row>
    <row r="948" spans="1:7" x14ac:dyDescent="0.25">
      <c r="A948" s="8">
        <v>44778</v>
      </c>
      <c r="B948" s="9" t="s">
        <v>963</v>
      </c>
      <c r="C948" s="9" t="s">
        <v>11</v>
      </c>
      <c r="D948" s="9">
        <v>323.64999999999998</v>
      </c>
      <c r="E948" s="9" t="s">
        <v>7</v>
      </c>
      <c r="F948" s="12">
        <f>YEAR(Personal_Finance_Dataset[[#This Row],[Date]])</f>
        <v>2022</v>
      </c>
      <c r="G948">
        <f t="shared" si="14"/>
        <v>2022</v>
      </c>
    </row>
    <row r="949" spans="1:7" x14ac:dyDescent="0.25">
      <c r="A949" s="8">
        <v>44779</v>
      </c>
      <c r="B949" s="9" t="s">
        <v>964</v>
      </c>
      <c r="C949" s="9" t="s">
        <v>6</v>
      </c>
      <c r="D949" s="9">
        <v>437.89</v>
      </c>
      <c r="E949" s="9" t="s">
        <v>7</v>
      </c>
      <c r="F949" s="12">
        <f>YEAR(Personal_Finance_Dataset[[#This Row],[Date]])</f>
        <v>2022</v>
      </c>
      <c r="G949">
        <f t="shared" si="14"/>
        <v>2022</v>
      </c>
    </row>
    <row r="950" spans="1:7" x14ac:dyDescent="0.25">
      <c r="A950" s="8">
        <v>44780</v>
      </c>
      <c r="B950" s="9" t="s">
        <v>965</v>
      </c>
      <c r="C950" s="9" t="s">
        <v>9</v>
      </c>
      <c r="D950" s="9">
        <v>191.51</v>
      </c>
      <c r="E950" s="9" t="s">
        <v>7</v>
      </c>
      <c r="F950" s="12">
        <f>YEAR(Personal_Finance_Dataset[[#This Row],[Date]])</f>
        <v>2022</v>
      </c>
      <c r="G950">
        <f t="shared" si="14"/>
        <v>2022</v>
      </c>
    </row>
    <row r="951" spans="1:7" x14ac:dyDescent="0.25">
      <c r="A951" s="8">
        <v>44781</v>
      </c>
      <c r="B951" s="9" t="s">
        <v>966</v>
      </c>
      <c r="C951" s="9" t="s">
        <v>25</v>
      </c>
      <c r="D951" s="9">
        <v>798.53</v>
      </c>
      <c r="E951" s="9" t="s">
        <v>7</v>
      </c>
      <c r="F951" s="12">
        <f>YEAR(Personal_Finance_Dataset[[#This Row],[Date]])</f>
        <v>2022</v>
      </c>
      <c r="G951">
        <f t="shared" si="14"/>
        <v>2022</v>
      </c>
    </row>
    <row r="952" spans="1:7" x14ac:dyDescent="0.25">
      <c r="A952" s="8">
        <v>44782</v>
      </c>
      <c r="B952" s="9" t="s">
        <v>967</v>
      </c>
      <c r="C952" s="9" t="s">
        <v>20</v>
      </c>
      <c r="D952" s="9">
        <v>2631</v>
      </c>
      <c r="E952" s="9" t="s">
        <v>14</v>
      </c>
      <c r="F952" s="12">
        <f>YEAR(Personal_Finance_Dataset[[#This Row],[Date]])</f>
        <v>2022</v>
      </c>
      <c r="G952">
        <f t="shared" si="14"/>
        <v>2022</v>
      </c>
    </row>
    <row r="953" spans="1:7" x14ac:dyDescent="0.25">
      <c r="A953" s="8">
        <v>44783</v>
      </c>
      <c r="B953" s="9" t="s">
        <v>968</v>
      </c>
      <c r="C953" s="9" t="s">
        <v>9</v>
      </c>
      <c r="D953" s="9">
        <v>71.849999999999994</v>
      </c>
      <c r="E953" s="9" t="s">
        <v>7</v>
      </c>
      <c r="F953" s="12">
        <f>YEAR(Personal_Finance_Dataset[[#This Row],[Date]])</f>
        <v>2022</v>
      </c>
      <c r="G953">
        <f t="shared" si="14"/>
        <v>2022</v>
      </c>
    </row>
    <row r="954" spans="1:7" x14ac:dyDescent="0.25">
      <c r="A954" s="8">
        <v>44784</v>
      </c>
      <c r="B954" s="9" t="s">
        <v>969</v>
      </c>
      <c r="C954" s="9" t="s">
        <v>27</v>
      </c>
      <c r="D954" s="9">
        <v>1116.3499999999999</v>
      </c>
      <c r="E954" s="9" t="s">
        <v>7</v>
      </c>
      <c r="F954" s="12">
        <f>YEAR(Personal_Finance_Dataset[[#This Row],[Date]])</f>
        <v>2022</v>
      </c>
      <c r="G954">
        <f t="shared" si="14"/>
        <v>2022</v>
      </c>
    </row>
    <row r="955" spans="1:7" x14ac:dyDescent="0.25">
      <c r="A955" s="8">
        <v>44785</v>
      </c>
      <c r="B955" s="9" t="s">
        <v>970</v>
      </c>
      <c r="C955" s="9" t="s">
        <v>11</v>
      </c>
      <c r="D955" s="9">
        <v>929.47</v>
      </c>
      <c r="E955" s="9" t="s">
        <v>7</v>
      </c>
      <c r="F955" s="12">
        <f>YEAR(Personal_Finance_Dataset[[#This Row],[Date]])</f>
        <v>2022</v>
      </c>
      <c r="G955">
        <f t="shared" si="14"/>
        <v>2022</v>
      </c>
    </row>
    <row r="956" spans="1:7" x14ac:dyDescent="0.25">
      <c r="A956" s="8">
        <v>44786</v>
      </c>
      <c r="B956" s="9" t="s">
        <v>971</v>
      </c>
      <c r="C956" s="9" t="s">
        <v>9</v>
      </c>
      <c r="D956" s="9">
        <v>251.69</v>
      </c>
      <c r="E956" s="9" t="s">
        <v>7</v>
      </c>
      <c r="F956" s="12">
        <f>YEAR(Personal_Finance_Dataset[[#This Row],[Date]])</f>
        <v>2022</v>
      </c>
      <c r="G956">
        <f t="shared" si="14"/>
        <v>2022</v>
      </c>
    </row>
    <row r="957" spans="1:7" x14ac:dyDescent="0.25">
      <c r="A957" s="8">
        <v>44787</v>
      </c>
      <c r="B957" s="9" t="s">
        <v>972</v>
      </c>
      <c r="C957" s="9" t="s">
        <v>13</v>
      </c>
      <c r="D957" s="9">
        <v>1570</v>
      </c>
      <c r="E957" s="9" t="s">
        <v>14</v>
      </c>
      <c r="F957" s="12">
        <f>YEAR(Personal_Finance_Dataset[[#This Row],[Date]])</f>
        <v>2022</v>
      </c>
      <c r="G957">
        <f t="shared" si="14"/>
        <v>2022</v>
      </c>
    </row>
    <row r="958" spans="1:7" x14ac:dyDescent="0.25">
      <c r="A958" s="8">
        <v>44788</v>
      </c>
      <c r="B958" s="9" t="s">
        <v>973</v>
      </c>
      <c r="C958" s="9" t="s">
        <v>20</v>
      </c>
      <c r="D958" s="9">
        <v>3549</v>
      </c>
      <c r="E958" s="9" t="s">
        <v>14</v>
      </c>
      <c r="F958" s="12">
        <f>YEAR(Personal_Finance_Dataset[[#This Row],[Date]])</f>
        <v>2022</v>
      </c>
      <c r="G958">
        <f t="shared" si="14"/>
        <v>2022</v>
      </c>
    </row>
    <row r="959" spans="1:7" x14ac:dyDescent="0.25">
      <c r="A959" s="8">
        <v>44789</v>
      </c>
      <c r="B959" s="9" t="s">
        <v>974</v>
      </c>
      <c r="C959" s="9" t="s">
        <v>11</v>
      </c>
      <c r="D959" s="9">
        <v>1168.82</v>
      </c>
      <c r="E959" s="9" t="s">
        <v>7</v>
      </c>
      <c r="F959" s="12">
        <f>YEAR(Personal_Finance_Dataset[[#This Row],[Date]])</f>
        <v>2022</v>
      </c>
      <c r="G959">
        <f t="shared" si="14"/>
        <v>2022</v>
      </c>
    </row>
    <row r="960" spans="1:7" x14ac:dyDescent="0.25">
      <c r="A960" s="8">
        <v>44790</v>
      </c>
      <c r="B960" s="9" t="s">
        <v>975</v>
      </c>
      <c r="C960" s="9" t="s">
        <v>11</v>
      </c>
      <c r="D960" s="9">
        <v>53.38</v>
      </c>
      <c r="E960" s="9" t="s">
        <v>7</v>
      </c>
      <c r="F960" s="12">
        <f>YEAR(Personal_Finance_Dataset[[#This Row],[Date]])</f>
        <v>2022</v>
      </c>
      <c r="G960">
        <f t="shared" si="14"/>
        <v>2022</v>
      </c>
    </row>
    <row r="961" spans="1:7" x14ac:dyDescent="0.25">
      <c r="A961" s="8">
        <v>44791</v>
      </c>
      <c r="B961" s="9" t="s">
        <v>976</v>
      </c>
      <c r="C961" s="9" t="s">
        <v>20</v>
      </c>
      <c r="D961" s="9">
        <v>1555</v>
      </c>
      <c r="E961" s="9" t="s">
        <v>14</v>
      </c>
      <c r="F961" s="12">
        <f>YEAR(Personal_Finance_Dataset[[#This Row],[Date]])</f>
        <v>2022</v>
      </c>
      <c r="G961">
        <f t="shared" si="14"/>
        <v>2022</v>
      </c>
    </row>
    <row r="962" spans="1:7" x14ac:dyDescent="0.25">
      <c r="A962" s="8">
        <v>44792</v>
      </c>
      <c r="B962" s="9" t="s">
        <v>977</v>
      </c>
      <c r="C962" s="9" t="s">
        <v>20</v>
      </c>
      <c r="D962" s="9">
        <v>1503</v>
      </c>
      <c r="E962" s="9" t="s">
        <v>14</v>
      </c>
      <c r="F962" s="12">
        <f>YEAR(Personal_Finance_Dataset[[#This Row],[Date]])</f>
        <v>2022</v>
      </c>
      <c r="G962">
        <f t="shared" ref="G962:G1025" si="15">YEAR(A962)</f>
        <v>2022</v>
      </c>
    </row>
    <row r="963" spans="1:7" x14ac:dyDescent="0.25">
      <c r="A963" s="8">
        <v>44793</v>
      </c>
      <c r="B963" s="9" t="s">
        <v>978</v>
      </c>
      <c r="C963" s="9" t="s">
        <v>20</v>
      </c>
      <c r="D963" s="9">
        <v>914</v>
      </c>
      <c r="E963" s="9" t="s">
        <v>14</v>
      </c>
      <c r="F963" s="12">
        <f>YEAR(Personal_Finance_Dataset[[#This Row],[Date]])</f>
        <v>2022</v>
      </c>
      <c r="G963">
        <f t="shared" si="15"/>
        <v>2022</v>
      </c>
    </row>
    <row r="964" spans="1:7" x14ac:dyDescent="0.25">
      <c r="A964" s="8">
        <v>44794</v>
      </c>
      <c r="B964" s="9" t="s">
        <v>979</v>
      </c>
      <c r="C964" s="9" t="s">
        <v>20</v>
      </c>
      <c r="D964" s="9">
        <v>3735</v>
      </c>
      <c r="E964" s="9" t="s">
        <v>14</v>
      </c>
      <c r="F964" s="12">
        <f>YEAR(Personal_Finance_Dataset[[#This Row],[Date]])</f>
        <v>2022</v>
      </c>
      <c r="G964">
        <f t="shared" si="15"/>
        <v>2022</v>
      </c>
    </row>
    <row r="965" spans="1:7" x14ac:dyDescent="0.25">
      <c r="A965" s="8">
        <v>44795</v>
      </c>
      <c r="B965" s="9" t="s">
        <v>980</v>
      </c>
      <c r="C965" s="9" t="s">
        <v>17</v>
      </c>
      <c r="D965" s="9">
        <v>1369.59</v>
      </c>
      <c r="E965" s="9" t="s">
        <v>7</v>
      </c>
      <c r="F965" s="12">
        <f>YEAR(Personal_Finance_Dataset[[#This Row],[Date]])</f>
        <v>2022</v>
      </c>
      <c r="G965">
        <f t="shared" si="15"/>
        <v>2022</v>
      </c>
    </row>
    <row r="966" spans="1:7" x14ac:dyDescent="0.25">
      <c r="A966" s="8">
        <v>44796</v>
      </c>
      <c r="B966" s="9" t="s">
        <v>981</v>
      </c>
      <c r="C966" s="9" t="s">
        <v>13</v>
      </c>
      <c r="D966" s="9">
        <v>2033</v>
      </c>
      <c r="E966" s="9" t="s">
        <v>14</v>
      </c>
      <c r="F966" s="12">
        <f>YEAR(Personal_Finance_Dataset[[#This Row],[Date]])</f>
        <v>2022</v>
      </c>
      <c r="G966">
        <f t="shared" si="15"/>
        <v>2022</v>
      </c>
    </row>
    <row r="967" spans="1:7" x14ac:dyDescent="0.25">
      <c r="A967" s="8">
        <v>44797</v>
      </c>
      <c r="B967" s="9" t="s">
        <v>982</v>
      </c>
      <c r="C967" s="9" t="s">
        <v>27</v>
      </c>
      <c r="D967" s="9">
        <v>1768.01</v>
      </c>
      <c r="E967" s="9" t="s">
        <v>7</v>
      </c>
      <c r="F967" s="12">
        <f>YEAR(Personal_Finance_Dataset[[#This Row],[Date]])</f>
        <v>2022</v>
      </c>
      <c r="G967">
        <f t="shared" si="15"/>
        <v>2022</v>
      </c>
    </row>
    <row r="968" spans="1:7" x14ac:dyDescent="0.25">
      <c r="A968" s="8">
        <v>44798</v>
      </c>
      <c r="B968" s="9" t="s">
        <v>983</v>
      </c>
      <c r="C968" s="9" t="s">
        <v>13</v>
      </c>
      <c r="D968" s="9">
        <v>2917</v>
      </c>
      <c r="E968" s="9" t="s">
        <v>14</v>
      </c>
      <c r="F968" s="12">
        <f>YEAR(Personal_Finance_Dataset[[#This Row],[Date]])</f>
        <v>2022</v>
      </c>
      <c r="G968">
        <f t="shared" si="15"/>
        <v>2022</v>
      </c>
    </row>
    <row r="969" spans="1:7" x14ac:dyDescent="0.25">
      <c r="A969" s="8">
        <v>44799</v>
      </c>
      <c r="B969" s="9" t="s">
        <v>984</v>
      </c>
      <c r="C969" s="9" t="s">
        <v>27</v>
      </c>
      <c r="D969" s="9">
        <v>131.35</v>
      </c>
      <c r="E969" s="9" t="s">
        <v>7</v>
      </c>
      <c r="F969" s="12">
        <f>YEAR(Personal_Finance_Dataset[[#This Row],[Date]])</f>
        <v>2022</v>
      </c>
      <c r="G969">
        <f t="shared" si="15"/>
        <v>2022</v>
      </c>
    </row>
    <row r="970" spans="1:7" x14ac:dyDescent="0.25">
      <c r="A970" s="8">
        <v>44800</v>
      </c>
      <c r="B970" s="9" t="s">
        <v>985</v>
      </c>
      <c r="C970" s="9" t="s">
        <v>9</v>
      </c>
      <c r="D970" s="9">
        <v>844.28</v>
      </c>
      <c r="E970" s="9" t="s">
        <v>7</v>
      </c>
      <c r="F970" s="12">
        <f>YEAR(Personal_Finance_Dataset[[#This Row],[Date]])</f>
        <v>2022</v>
      </c>
      <c r="G970">
        <f t="shared" si="15"/>
        <v>2022</v>
      </c>
    </row>
    <row r="971" spans="1:7" x14ac:dyDescent="0.25">
      <c r="A971" s="8">
        <v>44801</v>
      </c>
      <c r="B971" s="9" t="s">
        <v>986</v>
      </c>
      <c r="C971" s="9" t="s">
        <v>22</v>
      </c>
      <c r="D971" s="9">
        <v>1265.2</v>
      </c>
      <c r="E971" s="9" t="s">
        <v>7</v>
      </c>
      <c r="F971" s="12">
        <f>YEAR(Personal_Finance_Dataset[[#This Row],[Date]])</f>
        <v>2022</v>
      </c>
      <c r="G971">
        <f t="shared" si="15"/>
        <v>2022</v>
      </c>
    </row>
    <row r="972" spans="1:7" x14ac:dyDescent="0.25">
      <c r="A972" s="8">
        <v>44802</v>
      </c>
      <c r="B972" s="9" t="s">
        <v>987</v>
      </c>
      <c r="C972" s="9" t="s">
        <v>6</v>
      </c>
      <c r="D972" s="9">
        <v>1978.91</v>
      </c>
      <c r="E972" s="9" t="s">
        <v>7</v>
      </c>
      <c r="F972" s="12">
        <f>YEAR(Personal_Finance_Dataset[[#This Row],[Date]])</f>
        <v>2022</v>
      </c>
      <c r="G972">
        <f t="shared" si="15"/>
        <v>2022</v>
      </c>
    </row>
    <row r="973" spans="1:7" x14ac:dyDescent="0.25">
      <c r="A973" s="8">
        <v>44803</v>
      </c>
      <c r="B973" s="9" t="s">
        <v>988</v>
      </c>
      <c r="C973" s="9" t="s">
        <v>25</v>
      </c>
      <c r="D973" s="9">
        <v>964.57</v>
      </c>
      <c r="E973" s="9" t="s">
        <v>7</v>
      </c>
      <c r="F973" s="12">
        <f>YEAR(Personal_Finance_Dataset[[#This Row],[Date]])</f>
        <v>2022</v>
      </c>
      <c r="G973">
        <f t="shared" si="15"/>
        <v>2022</v>
      </c>
    </row>
    <row r="974" spans="1:7" x14ac:dyDescent="0.25">
      <c r="A974" s="8">
        <v>44804</v>
      </c>
      <c r="B974" s="9" t="s">
        <v>989</v>
      </c>
      <c r="C974" s="9" t="s">
        <v>25</v>
      </c>
      <c r="D974" s="9">
        <v>1826.23</v>
      </c>
      <c r="E974" s="9" t="s">
        <v>7</v>
      </c>
      <c r="F974" s="12">
        <f>YEAR(Personal_Finance_Dataset[[#This Row],[Date]])</f>
        <v>2022</v>
      </c>
      <c r="G974">
        <f t="shared" si="15"/>
        <v>2022</v>
      </c>
    </row>
    <row r="975" spans="1:7" x14ac:dyDescent="0.25">
      <c r="A975" s="8">
        <v>44805</v>
      </c>
      <c r="B975" s="9" t="s">
        <v>990</v>
      </c>
      <c r="C975" s="9" t="s">
        <v>17</v>
      </c>
      <c r="D975" s="9">
        <v>548.16999999999996</v>
      </c>
      <c r="E975" s="9" t="s">
        <v>7</v>
      </c>
      <c r="F975" s="12">
        <f>YEAR(Personal_Finance_Dataset[[#This Row],[Date]])</f>
        <v>2022</v>
      </c>
      <c r="G975">
        <f t="shared" si="15"/>
        <v>2022</v>
      </c>
    </row>
    <row r="976" spans="1:7" x14ac:dyDescent="0.25">
      <c r="A976" s="8">
        <v>44806</v>
      </c>
      <c r="B976" s="9" t="s">
        <v>991</v>
      </c>
      <c r="C976" s="9" t="s">
        <v>13</v>
      </c>
      <c r="D976" s="9">
        <v>740</v>
      </c>
      <c r="E976" s="9" t="s">
        <v>14</v>
      </c>
      <c r="F976" s="12">
        <f>YEAR(Personal_Finance_Dataset[[#This Row],[Date]])</f>
        <v>2022</v>
      </c>
      <c r="G976">
        <f t="shared" si="15"/>
        <v>2022</v>
      </c>
    </row>
    <row r="977" spans="1:7" x14ac:dyDescent="0.25">
      <c r="A977" s="8">
        <v>44807</v>
      </c>
      <c r="B977" s="9" t="s">
        <v>992</v>
      </c>
      <c r="C977" s="9" t="s">
        <v>35</v>
      </c>
      <c r="D977" s="9">
        <v>126.6</v>
      </c>
      <c r="E977" s="9" t="s">
        <v>7</v>
      </c>
      <c r="F977" s="12">
        <f>YEAR(Personal_Finance_Dataset[[#This Row],[Date]])</f>
        <v>2022</v>
      </c>
      <c r="G977">
        <f t="shared" si="15"/>
        <v>2022</v>
      </c>
    </row>
    <row r="978" spans="1:7" x14ac:dyDescent="0.25">
      <c r="A978" s="8">
        <v>44808</v>
      </c>
      <c r="B978" s="9" t="s">
        <v>993</v>
      </c>
      <c r="C978" s="9" t="s">
        <v>25</v>
      </c>
      <c r="D978" s="9">
        <v>1536.02</v>
      </c>
      <c r="E978" s="9" t="s">
        <v>7</v>
      </c>
      <c r="F978" s="12">
        <f>YEAR(Personal_Finance_Dataset[[#This Row],[Date]])</f>
        <v>2022</v>
      </c>
      <c r="G978">
        <f t="shared" si="15"/>
        <v>2022</v>
      </c>
    </row>
    <row r="979" spans="1:7" x14ac:dyDescent="0.25">
      <c r="A979" s="8">
        <v>44809</v>
      </c>
      <c r="B979" s="9" t="s">
        <v>994</v>
      </c>
      <c r="C979" s="9" t="s">
        <v>9</v>
      </c>
      <c r="D979" s="9">
        <v>209.27</v>
      </c>
      <c r="E979" s="9" t="s">
        <v>7</v>
      </c>
      <c r="F979" s="12">
        <f>YEAR(Personal_Finance_Dataset[[#This Row],[Date]])</f>
        <v>2022</v>
      </c>
      <c r="G979">
        <f t="shared" si="15"/>
        <v>2022</v>
      </c>
    </row>
    <row r="980" spans="1:7" x14ac:dyDescent="0.25">
      <c r="A980" s="8">
        <v>44810</v>
      </c>
      <c r="B980" s="9" t="s">
        <v>995</v>
      </c>
      <c r="C980" s="9" t="s">
        <v>35</v>
      </c>
      <c r="D980" s="9">
        <v>1072.04</v>
      </c>
      <c r="E980" s="9" t="s">
        <v>7</v>
      </c>
      <c r="F980" s="12">
        <f>YEAR(Personal_Finance_Dataset[[#This Row],[Date]])</f>
        <v>2022</v>
      </c>
      <c r="G980">
        <f t="shared" si="15"/>
        <v>2022</v>
      </c>
    </row>
    <row r="981" spans="1:7" x14ac:dyDescent="0.25">
      <c r="A981" s="8">
        <v>44811</v>
      </c>
      <c r="B981" s="9" t="s">
        <v>996</v>
      </c>
      <c r="C981" s="9" t="s">
        <v>6</v>
      </c>
      <c r="D981" s="9">
        <v>1530.46</v>
      </c>
      <c r="E981" s="9" t="s">
        <v>7</v>
      </c>
      <c r="F981" s="12">
        <f>YEAR(Personal_Finance_Dataset[[#This Row],[Date]])</f>
        <v>2022</v>
      </c>
      <c r="G981">
        <f t="shared" si="15"/>
        <v>2022</v>
      </c>
    </row>
    <row r="982" spans="1:7" x14ac:dyDescent="0.25">
      <c r="A982" s="8">
        <v>44812</v>
      </c>
      <c r="B982" s="9" t="s">
        <v>997</v>
      </c>
      <c r="C982" s="9" t="s">
        <v>17</v>
      </c>
      <c r="D982" s="9">
        <v>716.06</v>
      </c>
      <c r="E982" s="9" t="s">
        <v>7</v>
      </c>
      <c r="F982" s="12">
        <f>YEAR(Personal_Finance_Dataset[[#This Row],[Date]])</f>
        <v>2022</v>
      </c>
      <c r="G982">
        <f t="shared" si="15"/>
        <v>2022</v>
      </c>
    </row>
    <row r="983" spans="1:7" x14ac:dyDescent="0.25">
      <c r="A983" s="8">
        <v>44813</v>
      </c>
      <c r="B983" s="9" t="s">
        <v>998</v>
      </c>
      <c r="C983" s="9" t="s">
        <v>9</v>
      </c>
      <c r="D983" s="9">
        <v>360.44</v>
      </c>
      <c r="E983" s="9" t="s">
        <v>7</v>
      </c>
      <c r="F983" s="12">
        <f>YEAR(Personal_Finance_Dataset[[#This Row],[Date]])</f>
        <v>2022</v>
      </c>
      <c r="G983">
        <f t="shared" si="15"/>
        <v>2022</v>
      </c>
    </row>
    <row r="984" spans="1:7" x14ac:dyDescent="0.25">
      <c r="A984" s="8">
        <v>44814</v>
      </c>
      <c r="B984" s="9" t="s">
        <v>999</v>
      </c>
      <c r="C984" s="9" t="s">
        <v>25</v>
      </c>
      <c r="D984" s="9">
        <v>1828.82</v>
      </c>
      <c r="E984" s="9" t="s">
        <v>7</v>
      </c>
      <c r="F984" s="12">
        <f>YEAR(Personal_Finance_Dataset[[#This Row],[Date]])</f>
        <v>2022</v>
      </c>
      <c r="G984">
        <f t="shared" si="15"/>
        <v>2022</v>
      </c>
    </row>
    <row r="985" spans="1:7" x14ac:dyDescent="0.25">
      <c r="A985" s="8">
        <v>44815</v>
      </c>
      <c r="B985" s="9" t="s">
        <v>1000</v>
      </c>
      <c r="C985" s="9" t="s">
        <v>20</v>
      </c>
      <c r="D985" s="9">
        <v>1664</v>
      </c>
      <c r="E985" s="9" t="s">
        <v>14</v>
      </c>
      <c r="F985" s="12">
        <f>YEAR(Personal_Finance_Dataset[[#This Row],[Date]])</f>
        <v>2022</v>
      </c>
      <c r="G985">
        <f t="shared" si="15"/>
        <v>2022</v>
      </c>
    </row>
    <row r="986" spans="1:7" x14ac:dyDescent="0.25">
      <c r="A986" s="8">
        <v>44816</v>
      </c>
      <c r="B986" s="9" t="s">
        <v>1001</v>
      </c>
      <c r="C986" s="9" t="s">
        <v>22</v>
      </c>
      <c r="D986" s="9">
        <v>1675.03</v>
      </c>
      <c r="E986" s="9" t="s">
        <v>7</v>
      </c>
      <c r="F986" s="12">
        <f>YEAR(Personal_Finance_Dataset[[#This Row],[Date]])</f>
        <v>2022</v>
      </c>
      <c r="G986">
        <f t="shared" si="15"/>
        <v>2022</v>
      </c>
    </row>
    <row r="987" spans="1:7" x14ac:dyDescent="0.25">
      <c r="A987" s="8">
        <v>44817</v>
      </c>
      <c r="B987" s="9" t="s">
        <v>1002</v>
      </c>
      <c r="C987" s="9" t="s">
        <v>27</v>
      </c>
      <c r="D987" s="9">
        <v>1088.83</v>
      </c>
      <c r="E987" s="9" t="s">
        <v>7</v>
      </c>
      <c r="F987" s="12">
        <f>YEAR(Personal_Finance_Dataset[[#This Row],[Date]])</f>
        <v>2022</v>
      </c>
      <c r="G987">
        <f t="shared" si="15"/>
        <v>2022</v>
      </c>
    </row>
    <row r="988" spans="1:7" x14ac:dyDescent="0.25">
      <c r="A988" s="8">
        <v>44818</v>
      </c>
      <c r="B988" s="9" t="s">
        <v>1003</v>
      </c>
      <c r="C988" s="9" t="s">
        <v>13</v>
      </c>
      <c r="D988" s="9">
        <v>1239</v>
      </c>
      <c r="E988" s="9" t="s">
        <v>14</v>
      </c>
      <c r="F988" s="12">
        <f>YEAR(Personal_Finance_Dataset[[#This Row],[Date]])</f>
        <v>2022</v>
      </c>
      <c r="G988">
        <f t="shared" si="15"/>
        <v>2022</v>
      </c>
    </row>
    <row r="989" spans="1:7" x14ac:dyDescent="0.25">
      <c r="A989" s="8">
        <v>44819</v>
      </c>
      <c r="B989" s="9" t="s">
        <v>1004</v>
      </c>
      <c r="C989" s="9" t="s">
        <v>13</v>
      </c>
      <c r="D989" s="9">
        <v>663</v>
      </c>
      <c r="E989" s="9" t="s">
        <v>14</v>
      </c>
      <c r="F989" s="12">
        <f>YEAR(Personal_Finance_Dataset[[#This Row],[Date]])</f>
        <v>2022</v>
      </c>
      <c r="G989">
        <f t="shared" si="15"/>
        <v>2022</v>
      </c>
    </row>
    <row r="990" spans="1:7" x14ac:dyDescent="0.25">
      <c r="A990" s="8">
        <v>44820</v>
      </c>
      <c r="B990" s="9" t="s">
        <v>1005</v>
      </c>
      <c r="C990" s="9" t="s">
        <v>6</v>
      </c>
      <c r="D990" s="9">
        <v>670.15</v>
      </c>
      <c r="E990" s="9" t="s">
        <v>7</v>
      </c>
      <c r="F990" s="12">
        <f>YEAR(Personal_Finance_Dataset[[#This Row],[Date]])</f>
        <v>2022</v>
      </c>
      <c r="G990">
        <f t="shared" si="15"/>
        <v>2022</v>
      </c>
    </row>
    <row r="991" spans="1:7" x14ac:dyDescent="0.25">
      <c r="A991" s="8">
        <v>44821</v>
      </c>
      <c r="B991" s="9" t="s">
        <v>1006</v>
      </c>
      <c r="C991" s="9" t="s">
        <v>9</v>
      </c>
      <c r="D991" s="9">
        <v>688.11</v>
      </c>
      <c r="E991" s="9" t="s">
        <v>7</v>
      </c>
      <c r="F991" s="12">
        <f>YEAR(Personal_Finance_Dataset[[#This Row],[Date]])</f>
        <v>2022</v>
      </c>
      <c r="G991">
        <f t="shared" si="15"/>
        <v>2022</v>
      </c>
    </row>
    <row r="992" spans="1:7" x14ac:dyDescent="0.25">
      <c r="A992" s="8">
        <v>44822</v>
      </c>
      <c r="B992" s="9" t="s">
        <v>1007</v>
      </c>
      <c r="C992" s="9" t="s">
        <v>20</v>
      </c>
      <c r="D992" s="9">
        <v>987</v>
      </c>
      <c r="E992" s="9" t="s">
        <v>14</v>
      </c>
      <c r="F992" s="12">
        <f>YEAR(Personal_Finance_Dataset[[#This Row],[Date]])</f>
        <v>2022</v>
      </c>
      <c r="G992">
        <f t="shared" si="15"/>
        <v>2022</v>
      </c>
    </row>
    <row r="993" spans="1:7" x14ac:dyDescent="0.25">
      <c r="A993" s="8">
        <v>44823</v>
      </c>
      <c r="B993" s="9" t="s">
        <v>1008</v>
      </c>
      <c r="C993" s="9" t="s">
        <v>13</v>
      </c>
      <c r="D993" s="9">
        <v>1408</v>
      </c>
      <c r="E993" s="9" t="s">
        <v>14</v>
      </c>
      <c r="F993" s="12">
        <f>YEAR(Personal_Finance_Dataset[[#This Row],[Date]])</f>
        <v>2022</v>
      </c>
      <c r="G993">
        <f t="shared" si="15"/>
        <v>2022</v>
      </c>
    </row>
    <row r="994" spans="1:7" x14ac:dyDescent="0.25">
      <c r="A994" s="8">
        <v>44824</v>
      </c>
      <c r="B994" s="9" t="s">
        <v>1009</v>
      </c>
      <c r="C994" s="9" t="s">
        <v>25</v>
      </c>
      <c r="D994" s="9">
        <v>1921.51</v>
      </c>
      <c r="E994" s="9" t="s">
        <v>7</v>
      </c>
      <c r="F994" s="12">
        <f>YEAR(Personal_Finance_Dataset[[#This Row],[Date]])</f>
        <v>2022</v>
      </c>
      <c r="G994">
        <f t="shared" si="15"/>
        <v>2022</v>
      </c>
    </row>
    <row r="995" spans="1:7" x14ac:dyDescent="0.25">
      <c r="A995" s="8">
        <v>44825</v>
      </c>
      <c r="B995" s="9" t="s">
        <v>1010</v>
      </c>
      <c r="C995" s="9" t="s">
        <v>17</v>
      </c>
      <c r="D995" s="9">
        <v>1176.17</v>
      </c>
      <c r="E995" s="9" t="s">
        <v>7</v>
      </c>
      <c r="F995" s="12">
        <f>YEAR(Personal_Finance_Dataset[[#This Row],[Date]])</f>
        <v>2022</v>
      </c>
      <c r="G995">
        <f t="shared" si="15"/>
        <v>2022</v>
      </c>
    </row>
    <row r="996" spans="1:7" x14ac:dyDescent="0.25">
      <c r="A996" s="8">
        <v>44826</v>
      </c>
      <c r="B996" s="9" t="s">
        <v>1011</v>
      </c>
      <c r="C996" s="9" t="s">
        <v>25</v>
      </c>
      <c r="D996" s="9">
        <v>281.54000000000002</v>
      </c>
      <c r="E996" s="9" t="s">
        <v>7</v>
      </c>
      <c r="F996" s="12">
        <f>YEAR(Personal_Finance_Dataset[[#This Row],[Date]])</f>
        <v>2022</v>
      </c>
      <c r="G996">
        <f t="shared" si="15"/>
        <v>2022</v>
      </c>
    </row>
    <row r="997" spans="1:7" x14ac:dyDescent="0.25">
      <c r="A997" s="8">
        <v>44827</v>
      </c>
      <c r="B997" s="9" t="s">
        <v>1012</v>
      </c>
      <c r="C997" s="9" t="s">
        <v>20</v>
      </c>
      <c r="D997" s="9">
        <v>4491</v>
      </c>
      <c r="E997" s="9" t="s">
        <v>14</v>
      </c>
      <c r="F997" s="12">
        <f>YEAR(Personal_Finance_Dataset[[#This Row],[Date]])</f>
        <v>2022</v>
      </c>
      <c r="G997">
        <f t="shared" si="15"/>
        <v>2022</v>
      </c>
    </row>
    <row r="998" spans="1:7" x14ac:dyDescent="0.25">
      <c r="A998" s="8">
        <v>44828</v>
      </c>
      <c r="B998" s="9" t="s">
        <v>1013</v>
      </c>
      <c r="C998" s="9" t="s">
        <v>9</v>
      </c>
      <c r="D998" s="9">
        <v>1417.29</v>
      </c>
      <c r="E998" s="9" t="s">
        <v>7</v>
      </c>
      <c r="F998" s="12">
        <f>YEAR(Personal_Finance_Dataset[[#This Row],[Date]])</f>
        <v>2022</v>
      </c>
      <c r="G998">
        <f t="shared" si="15"/>
        <v>2022</v>
      </c>
    </row>
    <row r="999" spans="1:7" x14ac:dyDescent="0.25">
      <c r="A999" s="8">
        <v>44829</v>
      </c>
      <c r="B999" s="9" t="s">
        <v>1014</v>
      </c>
      <c r="C999" s="9" t="s">
        <v>25</v>
      </c>
      <c r="D999" s="9">
        <v>454.24</v>
      </c>
      <c r="E999" s="9" t="s">
        <v>7</v>
      </c>
      <c r="F999" s="12">
        <f>YEAR(Personal_Finance_Dataset[[#This Row],[Date]])</f>
        <v>2022</v>
      </c>
      <c r="G999">
        <f t="shared" si="15"/>
        <v>2022</v>
      </c>
    </row>
    <row r="1000" spans="1:7" x14ac:dyDescent="0.25">
      <c r="A1000" s="8">
        <v>44830</v>
      </c>
      <c r="B1000" s="9" t="s">
        <v>1015</v>
      </c>
      <c r="C1000" s="9" t="s">
        <v>9</v>
      </c>
      <c r="D1000" s="9">
        <v>762.98</v>
      </c>
      <c r="E1000" s="9" t="s">
        <v>7</v>
      </c>
      <c r="F1000" s="12">
        <f>YEAR(Personal_Finance_Dataset[[#This Row],[Date]])</f>
        <v>2022</v>
      </c>
      <c r="G1000">
        <f t="shared" si="15"/>
        <v>2022</v>
      </c>
    </row>
    <row r="1001" spans="1:7" x14ac:dyDescent="0.25">
      <c r="A1001" s="8">
        <v>44831</v>
      </c>
      <c r="B1001" s="9" t="s">
        <v>1016</v>
      </c>
      <c r="C1001" s="9" t="s">
        <v>35</v>
      </c>
      <c r="D1001" s="9">
        <v>263.42</v>
      </c>
      <c r="E1001" s="9" t="s">
        <v>7</v>
      </c>
      <c r="F1001" s="12">
        <f>YEAR(Personal_Finance_Dataset[[#This Row],[Date]])</f>
        <v>2022</v>
      </c>
      <c r="G1001">
        <f t="shared" si="15"/>
        <v>2022</v>
      </c>
    </row>
    <row r="1002" spans="1:7" x14ac:dyDescent="0.25">
      <c r="A1002" s="8">
        <v>44832</v>
      </c>
      <c r="B1002" s="9" t="s">
        <v>1017</v>
      </c>
      <c r="C1002" s="9" t="s">
        <v>17</v>
      </c>
      <c r="D1002" s="9">
        <v>1703.01</v>
      </c>
      <c r="E1002" s="9" t="s">
        <v>7</v>
      </c>
      <c r="F1002" s="12">
        <f>YEAR(Personal_Finance_Dataset[[#This Row],[Date]])</f>
        <v>2022</v>
      </c>
      <c r="G1002">
        <f t="shared" si="15"/>
        <v>2022</v>
      </c>
    </row>
    <row r="1003" spans="1:7" x14ac:dyDescent="0.25">
      <c r="A1003" s="8">
        <v>44833</v>
      </c>
      <c r="B1003" s="9" t="s">
        <v>1018</v>
      </c>
      <c r="C1003" s="9" t="s">
        <v>6</v>
      </c>
      <c r="D1003" s="9">
        <v>372.34</v>
      </c>
      <c r="E1003" s="9" t="s">
        <v>7</v>
      </c>
      <c r="F1003" s="12">
        <f>YEAR(Personal_Finance_Dataset[[#This Row],[Date]])</f>
        <v>2022</v>
      </c>
      <c r="G1003">
        <f t="shared" si="15"/>
        <v>2022</v>
      </c>
    </row>
    <row r="1004" spans="1:7" x14ac:dyDescent="0.25">
      <c r="A1004" s="8">
        <v>44834</v>
      </c>
      <c r="B1004" s="9" t="s">
        <v>1019</v>
      </c>
      <c r="C1004" s="9" t="s">
        <v>22</v>
      </c>
      <c r="D1004" s="9">
        <v>1282.9000000000001</v>
      </c>
      <c r="E1004" s="9" t="s">
        <v>7</v>
      </c>
      <c r="F1004" s="12">
        <f>YEAR(Personal_Finance_Dataset[[#This Row],[Date]])</f>
        <v>2022</v>
      </c>
      <c r="G1004">
        <f t="shared" si="15"/>
        <v>2022</v>
      </c>
    </row>
    <row r="1005" spans="1:7" x14ac:dyDescent="0.25">
      <c r="A1005" s="8">
        <v>44835</v>
      </c>
      <c r="B1005" s="9" t="s">
        <v>1020</v>
      </c>
      <c r="C1005" s="9" t="s">
        <v>20</v>
      </c>
      <c r="D1005" s="9">
        <v>1652</v>
      </c>
      <c r="E1005" s="9" t="s">
        <v>14</v>
      </c>
      <c r="F1005" s="12">
        <f>YEAR(Personal_Finance_Dataset[[#This Row],[Date]])</f>
        <v>2022</v>
      </c>
      <c r="G1005">
        <f t="shared" si="15"/>
        <v>2022</v>
      </c>
    </row>
    <row r="1006" spans="1:7" x14ac:dyDescent="0.25">
      <c r="A1006" s="8">
        <v>44836</v>
      </c>
      <c r="B1006" s="9" t="s">
        <v>1021</v>
      </c>
      <c r="C1006" s="9" t="s">
        <v>11</v>
      </c>
      <c r="D1006" s="9">
        <v>483.61</v>
      </c>
      <c r="E1006" s="9" t="s">
        <v>7</v>
      </c>
      <c r="F1006" s="12">
        <f>YEAR(Personal_Finance_Dataset[[#This Row],[Date]])</f>
        <v>2022</v>
      </c>
      <c r="G1006">
        <f t="shared" si="15"/>
        <v>2022</v>
      </c>
    </row>
    <row r="1007" spans="1:7" x14ac:dyDescent="0.25">
      <c r="A1007" s="8">
        <v>44837</v>
      </c>
      <c r="B1007" s="9" t="s">
        <v>1022</v>
      </c>
      <c r="C1007" s="9" t="s">
        <v>9</v>
      </c>
      <c r="D1007" s="9">
        <v>1276.01</v>
      </c>
      <c r="E1007" s="9" t="s">
        <v>7</v>
      </c>
      <c r="F1007" s="12">
        <f>YEAR(Personal_Finance_Dataset[[#This Row],[Date]])</f>
        <v>2022</v>
      </c>
      <c r="G1007">
        <f t="shared" si="15"/>
        <v>2022</v>
      </c>
    </row>
    <row r="1008" spans="1:7" x14ac:dyDescent="0.25">
      <c r="A1008" s="8">
        <v>44838</v>
      </c>
      <c r="B1008" s="9" t="s">
        <v>1023</v>
      </c>
      <c r="C1008" s="9" t="s">
        <v>25</v>
      </c>
      <c r="D1008" s="9">
        <v>898.79</v>
      </c>
      <c r="E1008" s="9" t="s">
        <v>7</v>
      </c>
      <c r="F1008" s="12">
        <f>YEAR(Personal_Finance_Dataset[[#This Row],[Date]])</f>
        <v>2022</v>
      </c>
      <c r="G1008">
        <f t="shared" si="15"/>
        <v>2022</v>
      </c>
    </row>
    <row r="1009" spans="1:7" x14ac:dyDescent="0.25">
      <c r="A1009" s="8">
        <v>44839</v>
      </c>
      <c r="B1009" s="9" t="s">
        <v>1024</v>
      </c>
      <c r="C1009" s="9" t="s">
        <v>22</v>
      </c>
      <c r="D1009" s="9">
        <v>1389.42</v>
      </c>
      <c r="E1009" s="9" t="s">
        <v>7</v>
      </c>
      <c r="F1009" s="12">
        <f>YEAR(Personal_Finance_Dataset[[#This Row],[Date]])</f>
        <v>2022</v>
      </c>
      <c r="G1009">
        <f t="shared" si="15"/>
        <v>2022</v>
      </c>
    </row>
    <row r="1010" spans="1:7" x14ac:dyDescent="0.25">
      <c r="A1010" s="8">
        <v>44840</v>
      </c>
      <c r="B1010" s="9" t="s">
        <v>1025</v>
      </c>
      <c r="C1010" s="9" t="s">
        <v>11</v>
      </c>
      <c r="D1010" s="9">
        <v>1443.62</v>
      </c>
      <c r="E1010" s="9" t="s">
        <v>7</v>
      </c>
      <c r="F1010" s="12">
        <f>YEAR(Personal_Finance_Dataset[[#This Row],[Date]])</f>
        <v>2022</v>
      </c>
      <c r="G1010">
        <f t="shared" si="15"/>
        <v>2022</v>
      </c>
    </row>
    <row r="1011" spans="1:7" x14ac:dyDescent="0.25">
      <c r="A1011" s="8">
        <v>44841</v>
      </c>
      <c r="B1011" s="9" t="s">
        <v>1026</v>
      </c>
      <c r="C1011" s="9" t="s">
        <v>20</v>
      </c>
      <c r="D1011" s="9">
        <v>3937</v>
      </c>
      <c r="E1011" s="9" t="s">
        <v>14</v>
      </c>
      <c r="F1011" s="12">
        <f>YEAR(Personal_Finance_Dataset[[#This Row],[Date]])</f>
        <v>2022</v>
      </c>
      <c r="G1011">
        <f t="shared" si="15"/>
        <v>2022</v>
      </c>
    </row>
    <row r="1012" spans="1:7" x14ac:dyDescent="0.25">
      <c r="A1012" s="8">
        <v>44842</v>
      </c>
      <c r="B1012" s="9" t="s">
        <v>1027</v>
      </c>
      <c r="C1012" s="9" t="s">
        <v>17</v>
      </c>
      <c r="D1012" s="9">
        <v>991.23</v>
      </c>
      <c r="E1012" s="9" t="s">
        <v>7</v>
      </c>
      <c r="F1012" s="12">
        <f>YEAR(Personal_Finance_Dataset[[#This Row],[Date]])</f>
        <v>2022</v>
      </c>
      <c r="G1012">
        <f t="shared" si="15"/>
        <v>2022</v>
      </c>
    </row>
    <row r="1013" spans="1:7" x14ac:dyDescent="0.25">
      <c r="A1013" s="8">
        <v>44843</v>
      </c>
      <c r="B1013" s="9" t="s">
        <v>1028</v>
      </c>
      <c r="C1013" s="9" t="s">
        <v>17</v>
      </c>
      <c r="D1013" s="9">
        <v>211.84</v>
      </c>
      <c r="E1013" s="9" t="s">
        <v>7</v>
      </c>
      <c r="F1013" s="12">
        <f>YEAR(Personal_Finance_Dataset[[#This Row],[Date]])</f>
        <v>2022</v>
      </c>
      <c r="G1013">
        <f t="shared" si="15"/>
        <v>2022</v>
      </c>
    </row>
    <row r="1014" spans="1:7" x14ac:dyDescent="0.25">
      <c r="A1014" s="8">
        <v>44844</v>
      </c>
      <c r="B1014" s="9" t="s">
        <v>1029</v>
      </c>
      <c r="C1014" s="9" t="s">
        <v>22</v>
      </c>
      <c r="D1014" s="9">
        <v>333.69</v>
      </c>
      <c r="E1014" s="9" t="s">
        <v>7</v>
      </c>
      <c r="F1014" s="12">
        <f>YEAR(Personal_Finance_Dataset[[#This Row],[Date]])</f>
        <v>2022</v>
      </c>
      <c r="G1014">
        <f t="shared" si="15"/>
        <v>2022</v>
      </c>
    </row>
    <row r="1015" spans="1:7" x14ac:dyDescent="0.25">
      <c r="A1015" s="8">
        <v>44845</v>
      </c>
      <c r="B1015" s="9" t="s">
        <v>1030</v>
      </c>
      <c r="C1015" s="9" t="s">
        <v>13</v>
      </c>
      <c r="D1015" s="9">
        <v>2915</v>
      </c>
      <c r="E1015" s="9" t="s">
        <v>14</v>
      </c>
      <c r="F1015" s="12">
        <f>YEAR(Personal_Finance_Dataset[[#This Row],[Date]])</f>
        <v>2022</v>
      </c>
      <c r="G1015">
        <f t="shared" si="15"/>
        <v>2022</v>
      </c>
    </row>
    <row r="1016" spans="1:7" x14ac:dyDescent="0.25">
      <c r="A1016" s="8">
        <v>44846</v>
      </c>
      <c r="B1016" s="9" t="s">
        <v>1031</v>
      </c>
      <c r="C1016" s="9" t="s">
        <v>20</v>
      </c>
      <c r="D1016" s="9">
        <v>1357</v>
      </c>
      <c r="E1016" s="9" t="s">
        <v>14</v>
      </c>
      <c r="F1016" s="12">
        <f>YEAR(Personal_Finance_Dataset[[#This Row],[Date]])</f>
        <v>2022</v>
      </c>
      <c r="G1016">
        <f t="shared" si="15"/>
        <v>2022</v>
      </c>
    </row>
    <row r="1017" spans="1:7" x14ac:dyDescent="0.25">
      <c r="A1017" s="8">
        <v>44847</v>
      </c>
      <c r="B1017" s="9" t="s">
        <v>1032</v>
      </c>
      <c r="C1017" s="9" t="s">
        <v>13</v>
      </c>
      <c r="D1017" s="9">
        <v>3575</v>
      </c>
      <c r="E1017" s="9" t="s">
        <v>14</v>
      </c>
      <c r="F1017" s="12">
        <f>YEAR(Personal_Finance_Dataset[[#This Row],[Date]])</f>
        <v>2022</v>
      </c>
      <c r="G1017">
        <f t="shared" si="15"/>
        <v>2022</v>
      </c>
    </row>
    <row r="1018" spans="1:7" x14ac:dyDescent="0.25">
      <c r="A1018" s="8">
        <v>44848</v>
      </c>
      <c r="B1018" s="9" t="s">
        <v>1033</v>
      </c>
      <c r="C1018" s="9" t="s">
        <v>13</v>
      </c>
      <c r="D1018" s="9">
        <v>4981</v>
      </c>
      <c r="E1018" s="9" t="s">
        <v>14</v>
      </c>
      <c r="F1018" s="12">
        <f>YEAR(Personal_Finance_Dataset[[#This Row],[Date]])</f>
        <v>2022</v>
      </c>
      <c r="G1018">
        <f t="shared" si="15"/>
        <v>2022</v>
      </c>
    </row>
    <row r="1019" spans="1:7" x14ac:dyDescent="0.25">
      <c r="A1019" s="8">
        <v>44849</v>
      </c>
      <c r="B1019" s="9" t="s">
        <v>1034</v>
      </c>
      <c r="C1019" s="9" t="s">
        <v>11</v>
      </c>
      <c r="D1019" s="9">
        <v>682.52</v>
      </c>
      <c r="E1019" s="9" t="s">
        <v>7</v>
      </c>
      <c r="F1019" s="12">
        <f>YEAR(Personal_Finance_Dataset[[#This Row],[Date]])</f>
        <v>2022</v>
      </c>
      <c r="G1019">
        <f t="shared" si="15"/>
        <v>2022</v>
      </c>
    </row>
    <row r="1020" spans="1:7" x14ac:dyDescent="0.25">
      <c r="A1020" s="8">
        <v>44850</v>
      </c>
      <c r="B1020" s="9" t="s">
        <v>1035</v>
      </c>
      <c r="C1020" s="9" t="s">
        <v>27</v>
      </c>
      <c r="D1020" s="9">
        <v>1411.96</v>
      </c>
      <c r="E1020" s="9" t="s">
        <v>7</v>
      </c>
      <c r="F1020" s="12">
        <f>YEAR(Personal_Finance_Dataset[[#This Row],[Date]])</f>
        <v>2022</v>
      </c>
      <c r="G1020">
        <f t="shared" si="15"/>
        <v>2022</v>
      </c>
    </row>
    <row r="1021" spans="1:7" x14ac:dyDescent="0.25">
      <c r="A1021" s="8">
        <v>44851</v>
      </c>
      <c r="B1021" s="9" t="s">
        <v>1036</v>
      </c>
      <c r="C1021" s="9" t="s">
        <v>9</v>
      </c>
      <c r="D1021" s="9">
        <v>1218.56</v>
      </c>
      <c r="E1021" s="9" t="s">
        <v>7</v>
      </c>
      <c r="F1021" s="12">
        <f>YEAR(Personal_Finance_Dataset[[#This Row],[Date]])</f>
        <v>2022</v>
      </c>
      <c r="G1021">
        <f t="shared" si="15"/>
        <v>2022</v>
      </c>
    </row>
    <row r="1022" spans="1:7" x14ac:dyDescent="0.25">
      <c r="A1022" s="8">
        <v>44852</v>
      </c>
      <c r="B1022" s="9" t="s">
        <v>1037</v>
      </c>
      <c r="C1022" s="9" t="s">
        <v>6</v>
      </c>
      <c r="D1022" s="9">
        <v>211.5</v>
      </c>
      <c r="E1022" s="9" t="s">
        <v>7</v>
      </c>
      <c r="F1022" s="12">
        <f>YEAR(Personal_Finance_Dataset[[#This Row],[Date]])</f>
        <v>2022</v>
      </c>
      <c r="G1022">
        <f t="shared" si="15"/>
        <v>2022</v>
      </c>
    </row>
    <row r="1023" spans="1:7" x14ac:dyDescent="0.25">
      <c r="A1023" s="8">
        <v>44853</v>
      </c>
      <c r="B1023" s="9" t="s">
        <v>1038</v>
      </c>
      <c r="C1023" s="9" t="s">
        <v>22</v>
      </c>
      <c r="D1023" s="9">
        <v>824.47</v>
      </c>
      <c r="E1023" s="9" t="s">
        <v>7</v>
      </c>
      <c r="F1023" s="12">
        <f>YEAR(Personal_Finance_Dataset[[#This Row],[Date]])</f>
        <v>2022</v>
      </c>
      <c r="G1023">
        <f t="shared" si="15"/>
        <v>2022</v>
      </c>
    </row>
    <row r="1024" spans="1:7" x14ac:dyDescent="0.25">
      <c r="A1024" s="8">
        <v>44854</v>
      </c>
      <c r="B1024" s="9" t="s">
        <v>1039</v>
      </c>
      <c r="C1024" s="9" t="s">
        <v>35</v>
      </c>
      <c r="D1024" s="9">
        <v>1324.59</v>
      </c>
      <c r="E1024" s="9" t="s">
        <v>7</v>
      </c>
      <c r="F1024" s="12">
        <f>YEAR(Personal_Finance_Dataset[[#This Row],[Date]])</f>
        <v>2022</v>
      </c>
      <c r="G1024">
        <f t="shared" si="15"/>
        <v>2022</v>
      </c>
    </row>
    <row r="1025" spans="1:7" x14ac:dyDescent="0.25">
      <c r="A1025" s="8">
        <v>44855</v>
      </c>
      <c r="B1025" s="9" t="s">
        <v>1040</v>
      </c>
      <c r="C1025" s="9" t="s">
        <v>11</v>
      </c>
      <c r="D1025" s="9">
        <v>108.77</v>
      </c>
      <c r="E1025" s="9" t="s">
        <v>7</v>
      </c>
      <c r="F1025" s="12">
        <f>YEAR(Personal_Finance_Dataset[[#This Row],[Date]])</f>
        <v>2022</v>
      </c>
      <c r="G1025">
        <f t="shared" si="15"/>
        <v>2022</v>
      </c>
    </row>
    <row r="1026" spans="1:7" x14ac:dyDescent="0.25">
      <c r="A1026" s="8">
        <v>44856</v>
      </c>
      <c r="B1026" s="9" t="s">
        <v>1041</v>
      </c>
      <c r="C1026" s="9" t="s">
        <v>27</v>
      </c>
      <c r="D1026" s="9">
        <v>315.64</v>
      </c>
      <c r="E1026" s="9" t="s">
        <v>7</v>
      </c>
      <c r="F1026" s="12">
        <f>YEAR(Personal_Finance_Dataset[[#This Row],[Date]])</f>
        <v>2022</v>
      </c>
      <c r="G1026">
        <f t="shared" ref="G1026:G1089" si="16">YEAR(A1026)</f>
        <v>2022</v>
      </c>
    </row>
    <row r="1027" spans="1:7" x14ac:dyDescent="0.25">
      <c r="A1027" s="8">
        <v>44857</v>
      </c>
      <c r="B1027" s="9" t="s">
        <v>1042</v>
      </c>
      <c r="C1027" s="9" t="s">
        <v>17</v>
      </c>
      <c r="D1027" s="9">
        <v>184.38</v>
      </c>
      <c r="E1027" s="9" t="s">
        <v>7</v>
      </c>
      <c r="F1027" s="12">
        <f>YEAR(Personal_Finance_Dataset[[#This Row],[Date]])</f>
        <v>2022</v>
      </c>
      <c r="G1027">
        <f t="shared" si="16"/>
        <v>2022</v>
      </c>
    </row>
    <row r="1028" spans="1:7" x14ac:dyDescent="0.25">
      <c r="A1028" s="8">
        <v>44858</v>
      </c>
      <c r="B1028" s="9" t="s">
        <v>1043</v>
      </c>
      <c r="C1028" s="9" t="s">
        <v>27</v>
      </c>
      <c r="D1028" s="9">
        <v>407.35</v>
      </c>
      <c r="E1028" s="9" t="s">
        <v>7</v>
      </c>
      <c r="F1028" s="12">
        <f>YEAR(Personal_Finance_Dataset[[#This Row],[Date]])</f>
        <v>2022</v>
      </c>
      <c r="G1028">
        <f t="shared" si="16"/>
        <v>2022</v>
      </c>
    </row>
    <row r="1029" spans="1:7" x14ac:dyDescent="0.25">
      <c r="A1029" s="8">
        <v>44859</v>
      </c>
      <c r="B1029" s="9" t="s">
        <v>1044</v>
      </c>
      <c r="C1029" s="9" t="s">
        <v>13</v>
      </c>
      <c r="D1029" s="9">
        <v>2890</v>
      </c>
      <c r="E1029" s="9" t="s">
        <v>14</v>
      </c>
      <c r="F1029" s="12">
        <f>YEAR(Personal_Finance_Dataset[[#This Row],[Date]])</f>
        <v>2022</v>
      </c>
      <c r="G1029">
        <f t="shared" si="16"/>
        <v>2022</v>
      </c>
    </row>
    <row r="1030" spans="1:7" x14ac:dyDescent="0.25">
      <c r="A1030" s="8">
        <v>44860</v>
      </c>
      <c r="B1030" s="9" t="s">
        <v>1045</v>
      </c>
      <c r="C1030" s="9" t="s">
        <v>27</v>
      </c>
      <c r="D1030" s="9">
        <v>1689.1</v>
      </c>
      <c r="E1030" s="9" t="s">
        <v>7</v>
      </c>
      <c r="F1030" s="12">
        <f>YEAR(Personal_Finance_Dataset[[#This Row],[Date]])</f>
        <v>2022</v>
      </c>
      <c r="G1030">
        <f t="shared" si="16"/>
        <v>2022</v>
      </c>
    </row>
    <row r="1031" spans="1:7" x14ac:dyDescent="0.25">
      <c r="A1031" s="8">
        <v>44861</v>
      </c>
      <c r="B1031" s="9" t="s">
        <v>1046</v>
      </c>
      <c r="C1031" s="9" t="s">
        <v>17</v>
      </c>
      <c r="D1031" s="9">
        <v>947.18</v>
      </c>
      <c r="E1031" s="9" t="s">
        <v>7</v>
      </c>
      <c r="F1031" s="12">
        <f>YEAR(Personal_Finance_Dataset[[#This Row],[Date]])</f>
        <v>2022</v>
      </c>
      <c r="G1031">
        <f t="shared" si="16"/>
        <v>2022</v>
      </c>
    </row>
    <row r="1032" spans="1:7" x14ac:dyDescent="0.25">
      <c r="A1032" s="8">
        <v>44862</v>
      </c>
      <c r="B1032" s="9" t="s">
        <v>1047</v>
      </c>
      <c r="C1032" s="9" t="s">
        <v>35</v>
      </c>
      <c r="D1032" s="9">
        <v>191.36</v>
      </c>
      <c r="E1032" s="9" t="s">
        <v>7</v>
      </c>
      <c r="F1032" s="12">
        <f>YEAR(Personal_Finance_Dataset[[#This Row],[Date]])</f>
        <v>2022</v>
      </c>
      <c r="G1032">
        <f t="shared" si="16"/>
        <v>2022</v>
      </c>
    </row>
    <row r="1033" spans="1:7" x14ac:dyDescent="0.25">
      <c r="A1033" s="8">
        <v>44863</v>
      </c>
      <c r="B1033" s="9" t="s">
        <v>1048</v>
      </c>
      <c r="C1033" s="9" t="s">
        <v>9</v>
      </c>
      <c r="D1033" s="9">
        <v>748.33</v>
      </c>
      <c r="E1033" s="9" t="s">
        <v>7</v>
      </c>
      <c r="F1033" s="12">
        <f>YEAR(Personal_Finance_Dataset[[#This Row],[Date]])</f>
        <v>2022</v>
      </c>
      <c r="G1033">
        <f t="shared" si="16"/>
        <v>2022</v>
      </c>
    </row>
    <row r="1034" spans="1:7" x14ac:dyDescent="0.25">
      <c r="A1034" s="8">
        <v>44864</v>
      </c>
      <c r="B1034" s="9" t="s">
        <v>1049</v>
      </c>
      <c r="C1034" s="9" t="s">
        <v>9</v>
      </c>
      <c r="D1034" s="9">
        <v>897.09</v>
      </c>
      <c r="E1034" s="9" t="s">
        <v>7</v>
      </c>
      <c r="F1034" s="12">
        <f>YEAR(Personal_Finance_Dataset[[#This Row],[Date]])</f>
        <v>2022</v>
      </c>
      <c r="G1034">
        <f t="shared" si="16"/>
        <v>2022</v>
      </c>
    </row>
    <row r="1035" spans="1:7" x14ac:dyDescent="0.25">
      <c r="A1035" s="8">
        <v>44865</v>
      </c>
      <c r="B1035" s="9" t="s">
        <v>1050</v>
      </c>
      <c r="C1035" s="9" t="s">
        <v>27</v>
      </c>
      <c r="D1035" s="9">
        <v>534.16999999999996</v>
      </c>
      <c r="E1035" s="9" t="s">
        <v>7</v>
      </c>
      <c r="F1035" s="12">
        <f>YEAR(Personal_Finance_Dataset[[#This Row],[Date]])</f>
        <v>2022</v>
      </c>
      <c r="G1035">
        <f t="shared" si="16"/>
        <v>2022</v>
      </c>
    </row>
    <row r="1036" spans="1:7" x14ac:dyDescent="0.25">
      <c r="A1036" s="8">
        <v>44866</v>
      </c>
      <c r="B1036" s="9" t="s">
        <v>1051</v>
      </c>
      <c r="C1036" s="9" t="s">
        <v>6</v>
      </c>
      <c r="D1036" s="9">
        <v>310.75</v>
      </c>
      <c r="E1036" s="9" t="s">
        <v>7</v>
      </c>
      <c r="F1036" s="12">
        <f>YEAR(Personal_Finance_Dataset[[#This Row],[Date]])</f>
        <v>2022</v>
      </c>
      <c r="G1036">
        <f t="shared" si="16"/>
        <v>2022</v>
      </c>
    </row>
    <row r="1037" spans="1:7" x14ac:dyDescent="0.25">
      <c r="A1037" s="8">
        <v>44867</v>
      </c>
      <c r="B1037" s="9" t="s">
        <v>1052</v>
      </c>
      <c r="C1037" s="9" t="s">
        <v>11</v>
      </c>
      <c r="D1037" s="9">
        <v>180.56</v>
      </c>
      <c r="E1037" s="9" t="s">
        <v>7</v>
      </c>
      <c r="F1037" s="12">
        <f>YEAR(Personal_Finance_Dataset[[#This Row],[Date]])</f>
        <v>2022</v>
      </c>
      <c r="G1037">
        <f t="shared" si="16"/>
        <v>2022</v>
      </c>
    </row>
    <row r="1038" spans="1:7" x14ac:dyDescent="0.25">
      <c r="A1038" s="8">
        <v>44868</v>
      </c>
      <c r="B1038" s="9" t="s">
        <v>1053</v>
      </c>
      <c r="C1038" s="9" t="s">
        <v>17</v>
      </c>
      <c r="D1038" s="9">
        <v>1941.7</v>
      </c>
      <c r="E1038" s="9" t="s">
        <v>7</v>
      </c>
      <c r="F1038" s="12">
        <f>YEAR(Personal_Finance_Dataset[[#This Row],[Date]])</f>
        <v>2022</v>
      </c>
      <c r="G1038">
        <f t="shared" si="16"/>
        <v>2022</v>
      </c>
    </row>
    <row r="1039" spans="1:7" x14ac:dyDescent="0.25">
      <c r="A1039" s="8">
        <v>44869</v>
      </c>
      <c r="B1039" s="9" t="s">
        <v>1054</v>
      </c>
      <c r="C1039" s="9" t="s">
        <v>6</v>
      </c>
      <c r="D1039" s="9">
        <v>1683.19</v>
      </c>
      <c r="E1039" s="9" t="s">
        <v>7</v>
      </c>
      <c r="F1039" s="12">
        <f>YEAR(Personal_Finance_Dataset[[#This Row],[Date]])</f>
        <v>2022</v>
      </c>
      <c r="G1039">
        <f t="shared" si="16"/>
        <v>2022</v>
      </c>
    </row>
    <row r="1040" spans="1:7" x14ac:dyDescent="0.25">
      <c r="A1040" s="8">
        <v>44870</v>
      </c>
      <c r="B1040" s="9" t="s">
        <v>1055</v>
      </c>
      <c r="C1040" s="9" t="s">
        <v>17</v>
      </c>
      <c r="D1040" s="9">
        <v>1931.6</v>
      </c>
      <c r="E1040" s="9" t="s">
        <v>7</v>
      </c>
      <c r="F1040" s="12">
        <f>YEAR(Personal_Finance_Dataset[[#This Row],[Date]])</f>
        <v>2022</v>
      </c>
      <c r="G1040">
        <f t="shared" si="16"/>
        <v>2022</v>
      </c>
    </row>
    <row r="1041" spans="1:7" x14ac:dyDescent="0.25">
      <c r="A1041" s="8">
        <v>44871</v>
      </c>
      <c r="B1041" s="9" t="s">
        <v>1056</v>
      </c>
      <c r="C1041" s="9" t="s">
        <v>27</v>
      </c>
      <c r="D1041" s="9">
        <v>1149.7</v>
      </c>
      <c r="E1041" s="9" t="s">
        <v>7</v>
      </c>
      <c r="F1041" s="12">
        <f>YEAR(Personal_Finance_Dataset[[#This Row],[Date]])</f>
        <v>2022</v>
      </c>
      <c r="G1041">
        <f t="shared" si="16"/>
        <v>2022</v>
      </c>
    </row>
    <row r="1042" spans="1:7" x14ac:dyDescent="0.25">
      <c r="A1042" s="8">
        <v>44872</v>
      </c>
      <c r="B1042" s="9" t="s">
        <v>1057</v>
      </c>
      <c r="C1042" s="9" t="s">
        <v>35</v>
      </c>
      <c r="D1042" s="9">
        <v>167.12</v>
      </c>
      <c r="E1042" s="9" t="s">
        <v>7</v>
      </c>
      <c r="F1042" s="12">
        <f>YEAR(Personal_Finance_Dataset[[#This Row],[Date]])</f>
        <v>2022</v>
      </c>
      <c r="G1042">
        <f t="shared" si="16"/>
        <v>2022</v>
      </c>
    </row>
    <row r="1043" spans="1:7" x14ac:dyDescent="0.25">
      <c r="A1043" s="8">
        <v>44873</v>
      </c>
      <c r="B1043" s="9" t="s">
        <v>1058</v>
      </c>
      <c r="C1043" s="9" t="s">
        <v>6</v>
      </c>
      <c r="D1043" s="9">
        <v>1009.18</v>
      </c>
      <c r="E1043" s="9" t="s">
        <v>7</v>
      </c>
      <c r="F1043" s="12">
        <f>YEAR(Personal_Finance_Dataset[[#This Row],[Date]])</f>
        <v>2022</v>
      </c>
      <c r="G1043">
        <f t="shared" si="16"/>
        <v>2022</v>
      </c>
    </row>
    <row r="1044" spans="1:7" x14ac:dyDescent="0.25">
      <c r="A1044" s="8">
        <v>44874</v>
      </c>
      <c r="B1044" s="9" t="s">
        <v>1059</v>
      </c>
      <c r="C1044" s="9" t="s">
        <v>9</v>
      </c>
      <c r="D1044" s="9">
        <v>249.36</v>
      </c>
      <c r="E1044" s="9" t="s">
        <v>7</v>
      </c>
      <c r="F1044" s="12">
        <f>YEAR(Personal_Finance_Dataset[[#This Row],[Date]])</f>
        <v>2022</v>
      </c>
      <c r="G1044">
        <f t="shared" si="16"/>
        <v>2022</v>
      </c>
    </row>
    <row r="1045" spans="1:7" x14ac:dyDescent="0.25">
      <c r="A1045" s="8">
        <v>44875</v>
      </c>
      <c r="B1045" s="9" t="s">
        <v>1060</v>
      </c>
      <c r="C1045" s="9" t="s">
        <v>9</v>
      </c>
      <c r="D1045" s="9">
        <v>1898.63</v>
      </c>
      <c r="E1045" s="9" t="s">
        <v>7</v>
      </c>
      <c r="F1045" s="12">
        <f>YEAR(Personal_Finance_Dataset[[#This Row],[Date]])</f>
        <v>2022</v>
      </c>
      <c r="G1045">
        <f t="shared" si="16"/>
        <v>2022</v>
      </c>
    </row>
    <row r="1046" spans="1:7" x14ac:dyDescent="0.25">
      <c r="A1046" s="8">
        <v>44876</v>
      </c>
      <c r="B1046" s="9" t="s">
        <v>1061</v>
      </c>
      <c r="C1046" s="9" t="s">
        <v>13</v>
      </c>
      <c r="D1046" s="9">
        <v>2078</v>
      </c>
      <c r="E1046" s="9" t="s">
        <v>14</v>
      </c>
      <c r="F1046" s="12">
        <f>YEAR(Personal_Finance_Dataset[[#This Row],[Date]])</f>
        <v>2022</v>
      </c>
      <c r="G1046">
        <f t="shared" si="16"/>
        <v>2022</v>
      </c>
    </row>
    <row r="1047" spans="1:7" x14ac:dyDescent="0.25">
      <c r="A1047" s="8">
        <v>44877</v>
      </c>
      <c r="B1047" s="9" t="s">
        <v>1062</v>
      </c>
      <c r="C1047" s="9" t="s">
        <v>20</v>
      </c>
      <c r="D1047" s="9">
        <v>1141</v>
      </c>
      <c r="E1047" s="9" t="s">
        <v>14</v>
      </c>
      <c r="F1047" s="12">
        <f>YEAR(Personal_Finance_Dataset[[#This Row],[Date]])</f>
        <v>2022</v>
      </c>
      <c r="G1047">
        <f t="shared" si="16"/>
        <v>2022</v>
      </c>
    </row>
    <row r="1048" spans="1:7" x14ac:dyDescent="0.25">
      <c r="A1048" s="8">
        <v>44878</v>
      </c>
      <c r="B1048" s="9" t="s">
        <v>1063</v>
      </c>
      <c r="C1048" s="9" t="s">
        <v>17</v>
      </c>
      <c r="D1048" s="9">
        <v>411.82</v>
      </c>
      <c r="E1048" s="9" t="s">
        <v>7</v>
      </c>
      <c r="F1048" s="12">
        <f>YEAR(Personal_Finance_Dataset[[#This Row],[Date]])</f>
        <v>2022</v>
      </c>
      <c r="G1048">
        <f t="shared" si="16"/>
        <v>2022</v>
      </c>
    </row>
    <row r="1049" spans="1:7" x14ac:dyDescent="0.25">
      <c r="A1049" s="8">
        <v>44879</v>
      </c>
      <c r="B1049" s="9" t="s">
        <v>1064</v>
      </c>
      <c r="C1049" s="9" t="s">
        <v>9</v>
      </c>
      <c r="D1049" s="9">
        <v>1669.88</v>
      </c>
      <c r="E1049" s="9" t="s">
        <v>7</v>
      </c>
      <c r="F1049" s="12">
        <f>YEAR(Personal_Finance_Dataset[[#This Row],[Date]])</f>
        <v>2022</v>
      </c>
      <c r="G1049">
        <f t="shared" si="16"/>
        <v>2022</v>
      </c>
    </row>
    <row r="1050" spans="1:7" x14ac:dyDescent="0.25">
      <c r="A1050" s="8">
        <v>44880</v>
      </c>
      <c r="B1050" s="9" t="s">
        <v>1065</v>
      </c>
      <c r="C1050" s="9" t="s">
        <v>11</v>
      </c>
      <c r="D1050" s="9">
        <v>183.18</v>
      </c>
      <c r="E1050" s="9" t="s">
        <v>7</v>
      </c>
      <c r="F1050" s="12">
        <f>YEAR(Personal_Finance_Dataset[[#This Row],[Date]])</f>
        <v>2022</v>
      </c>
      <c r="G1050">
        <f t="shared" si="16"/>
        <v>2022</v>
      </c>
    </row>
    <row r="1051" spans="1:7" x14ac:dyDescent="0.25">
      <c r="A1051" s="8">
        <v>44881</v>
      </c>
      <c r="B1051" s="9" t="s">
        <v>1066</v>
      </c>
      <c r="C1051" s="9" t="s">
        <v>25</v>
      </c>
      <c r="D1051" s="9">
        <v>1714.68</v>
      </c>
      <c r="E1051" s="9" t="s">
        <v>7</v>
      </c>
      <c r="F1051" s="12">
        <f>YEAR(Personal_Finance_Dataset[[#This Row],[Date]])</f>
        <v>2022</v>
      </c>
      <c r="G1051">
        <f t="shared" si="16"/>
        <v>2022</v>
      </c>
    </row>
    <row r="1052" spans="1:7" x14ac:dyDescent="0.25">
      <c r="A1052" s="8">
        <v>44882</v>
      </c>
      <c r="B1052" s="9" t="s">
        <v>1067</v>
      </c>
      <c r="C1052" s="9" t="s">
        <v>6</v>
      </c>
      <c r="D1052" s="9">
        <v>1575.24</v>
      </c>
      <c r="E1052" s="9" t="s">
        <v>7</v>
      </c>
      <c r="F1052" s="12">
        <f>YEAR(Personal_Finance_Dataset[[#This Row],[Date]])</f>
        <v>2022</v>
      </c>
      <c r="G1052">
        <f t="shared" si="16"/>
        <v>2022</v>
      </c>
    </row>
    <row r="1053" spans="1:7" x14ac:dyDescent="0.25">
      <c r="A1053" s="8">
        <v>44883</v>
      </c>
      <c r="B1053" s="9" t="s">
        <v>1068</v>
      </c>
      <c r="C1053" s="9" t="s">
        <v>17</v>
      </c>
      <c r="D1053" s="9">
        <v>233.91</v>
      </c>
      <c r="E1053" s="9" t="s">
        <v>7</v>
      </c>
      <c r="F1053" s="12">
        <f>YEAR(Personal_Finance_Dataset[[#This Row],[Date]])</f>
        <v>2022</v>
      </c>
      <c r="G1053">
        <f t="shared" si="16"/>
        <v>2022</v>
      </c>
    </row>
    <row r="1054" spans="1:7" x14ac:dyDescent="0.25">
      <c r="A1054" s="8">
        <v>44884</v>
      </c>
      <c r="B1054" s="9" t="s">
        <v>1069</v>
      </c>
      <c r="C1054" s="9" t="s">
        <v>13</v>
      </c>
      <c r="D1054" s="9">
        <v>1365</v>
      </c>
      <c r="E1054" s="9" t="s">
        <v>14</v>
      </c>
      <c r="F1054" s="12">
        <f>YEAR(Personal_Finance_Dataset[[#This Row],[Date]])</f>
        <v>2022</v>
      </c>
      <c r="G1054">
        <f t="shared" si="16"/>
        <v>2022</v>
      </c>
    </row>
    <row r="1055" spans="1:7" x14ac:dyDescent="0.25">
      <c r="A1055" s="8">
        <v>44885</v>
      </c>
      <c r="B1055" s="9" t="s">
        <v>1070</v>
      </c>
      <c r="C1055" s="9" t="s">
        <v>11</v>
      </c>
      <c r="D1055" s="9">
        <v>1573.63</v>
      </c>
      <c r="E1055" s="9" t="s">
        <v>7</v>
      </c>
      <c r="F1055" s="12">
        <f>YEAR(Personal_Finance_Dataset[[#This Row],[Date]])</f>
        <v>2022</v>
      </c>
      <c r="G1055">
        <f t="shared" si="16"/>
        <v>2022</v>
      </c>
    </row>
    <row r="1056" spans="1:7" x14ac:dyDescent="0.25">
      <c r="A1056" s="8">
        <v>44886</v>
      </c>
      <c r="B1056" s="9" t="s">
        <v>1071</v>
      </c>
      <c r="C1056" s="9" t="s">
        <v>25</v>
      </c>
      <c r="D1056" s="9">
        <v>1757.01</v>
      </c>
      <c r="E1056" s="9" t="s">
        <v>7</v>
      </c>
      <c r="F1056" s="12">
        <f>YEAR(Personal_Finance_Dataset[[#This Row],[Date]])</f>
        <v>2022</v>
      </c>
      <c r="G1056">
        <f t="shared" si="16"/>
        <v>2022</v>
      </c>
    </row>
    <row r="1057" spans="1:7" x14ac:dyDescent="0.25">
      <c r="A1057" s="8">
        <v>44887</v>
      </c>
      <c r="B1057" s="9" t="s">
        <v>1072</v>
      </c>
      <c r="C1057" s="9" t="s">
        <v>27</v>
      </c>
      <c r="D1057" s="9">
        <v>1148.33</v>
      </c>
      <c r="E1057" s="9" t="s">
        <v>7</v>
      </c>
      <c r="F1057" s="12">
        <f>YEAR(Personal_Finance_Dataset[[#This Row],[Date]])</f>
        <v>2022</v>
      </c>
      <c r="G1057">
        <f t="shared" si="16"/>
        <v>2022</v>
      </c>
    </row>
    <row r="1058" spans="1:7" x14ac:dyDescent="0.25">
      <c r="A1058" s="8">
        <v>44888</v>
      </c>
      <c r="B1058" s="9" t="s">
        <v>1073</v>
      </c>
      <c r="C1058" s="9" t="s">
        <v>9</v>
      </c>
      <c r="D1058" s="9">
        <v>558.07000000000005</v>
      </c>
      <c r="E1058" s="9" t="s">
        <v>7</v>
      </c>
      <c r="F1058" s="12">
        <f>YEAR(Personal_Finance_Dataset[[#This Row],[Date]])</f>
        <v>2022</v>
      </c>
      <c r="G1058">
        <f t="shared" si="16"/>
        <v>2022</v>
      </c>
    </row>
    <row r="1059" spans="1:7" x14ac:dyDescent="0.25">
      <c r="A1059" s="8">
        <v>44889</v>
      </c>
      <c r="B1059" s="9" t="s">
        <v>1074</v>
      </c>
      <c r="C1059" s="9" t="s">
        <v>20</v>
      </c>
      <c r="D1059" s="9">
        <v>817</v>
      </c>
      <c r="E1059" s="9" t="s">
        <v>14</v>
      </c>
      <c r="F1059" s="12">
        <f>YEAR(Personal_Finance_Dataset[[#This Row],[Date]])</f>
        <v>2022</v>
      </c>
      <c r="G1059">
        <f t="shared" si="16"/>
        <v>2022</v>
      </c>
    </row>
    <row r="1060" spans="1:7" x14ac:dyDescent="0.25">
      <c r="A1060" s="8">
        <v>44890</v>
      </c>
      <c r="B1060" s="9" t="s">
        <v>1075</v>
      </c>
      <c r="C1060" s="9" t="s">
        <v>25</v>
      </c>
      <c r="D1060" s="9">
        <v>1384.12</v>
      </c>
      <c r="E1060" s="9" t="s">
        <v>7</v>
      </c>
      <c r="F1060" s="12">
        <f>YEAR(Personal_Finance_Dataset[[#This Row],[Date]])</f>
        <v>2022</v>
      </c>
      <c r="G1060">
        <f t="shared" si="16"/>
        <v>2022</v>
      </c>
    </row>
    <row r="1061" spans="1:7" x14ac:dyDescent="0.25">
      <c r="A1061" s="8">
        <v>44891</v>
      </c>
      <c r="B1061" s="9" t="s">
        <v>1076</v>
      </c>
      <c r="C1061" s="9" t="s">
        <v>20</v>
      </c>
      <c r="D1061" s="9">
        <v>2700</v>
      </c>
      <c r="E1061" s="9" t="s">
        <v>14</v>
      </c>
      <c r="F1061" s="12">
        <f>YEAR(Personal_Finance_Dataset[[#This Row],[Date]])</f>
        <v>2022</v>
      </c>
      <c r="G1061">
        <f t="shared" si="16"/>
        <v>2022</v>
      </c>
    </row>
    <row r="1062" spans="1:7" x14ac:dyDescent="0.25">
      <c r="A1062" s="8">
        <v>44892</v>
      </c>
      <c r="B1062" s="9" t="s">
        <v>1077</v>
      </c>
      <c r="C1062" s="9" t="s">
        <v>6</v>
      </c>
      <c r="D1062" s="9">
        <v>682.35</v>
      </c>
      <c r="E1062" s="9" t="s">
        <v>7</v>
      </c>
      <c r="F1062" s="12">
        <f>YEAR(Personal_Finance_Dataset[[#This Row],[Date]])</f>
        <v>2022</v>
      </c>
      <c r="G1062">
        <f t="shared" si="16"/>
        <v>2022</v>
      </c>
    </row>
    <row r="1063" spans="1:7" x14ac:dyDescent="0.25">
      <c r="A1063" s="8">
        <v>44893</v>
      </c>
      <c r="B1063" s="9" t="s">
        <v>1078</v>
      </c>
      <c r="C1063" s="9" t="s">
        <v>35</v>
      </c>
      <c r="D1063" s="9">
        <v>567.89</v>
      </c>
      <c r="E1063" s="9" t="s">
        <v>7</v>
      </c>
      <c r="F1063" s="12">
        <f>YEAR(Personal_Finance_Dataset[[#This Row],[Date]])</f>
        <v>2022</v>
      </c>
      <c r="G1063">
        <f t="shared" si="16"/>
        <v>2022</v>
      </c>
    </row>
    <row r="1064" spans="1:7" x14ac:dyDescent="0.25">
      <c r="A1064" s="8">
        <v>44894</v>
      </c>
      <c r="B1064" s="9" t="s">
        <v>1079</v>
      </c>
      <c r="C1064" s="9" t="s">
        <v>11</v>
      </c>
      <c r="D1064" s="9">
        <v>1945.27</v>
      </c>
      <c r="E1064" s="9" t="s">
        <v>7</v>
      </c>
      <c r="F1064" s="12">
        <f>YEAR(Personal_Finance_Dataset[[#This Row],[Date]])</f>
        <v>2022</v>
      </c>
      <c r="G1064">
        <f t="shared" si="16"/>
        <v>2022</v>
      </c>
    </row>
    <row r="1065" spans="1:7" x14ac:dyDescent="0.25">
      <c r="A1065" s="8">
        <v>44895</v>
      </c>
      <c r="B1065" s="9" t="s">
        <v>1080</v>
      </c>
      <c r="C1065" s="9" t="s">
        <v>35</v>
      </c>
      <c r="D1065" s="9">
        <v>1948.7</v>
      </c>
      <c r="E1065" s="9" t="s">
        <v>7</v>
      </c>
      <c r="F1065" s="12">
        <f>YEAR(Personal_Finance_Dataset[[#This Row],[Date]])</f>
        <v>2022</v>
      </c>
      <c r="G1065">
        <f t="shared" si="16"/>
        <v>2022</v>
      </c>
    </row>
    <row r="1066" spans="1:7" x14ac:dyDescent="0.25">
      <c r="A1066" s="8">
        <v>44896</v>
      </c>
      <c r="B1066" s="9" t="s">
        <v>1081</v>
      </c>
      <c r="C1066" s="9" t="s">
        <v>25</v>
      </c>
      <c r="D1066" s="9">
        <v>546.15</v>
      </c>
      <c r="E1066" s="9" t="s">
        <v>7</v>
      </c>
      <c r="F1066" s="12">
        <f>YEAR(Personal_Finance_Dataset[[#This Row],[Date]])</f>
        <v>2022</v>
      </c>
      <c r="G1066">
        <f t="shared" si="16"/>
        <v>2022</v>
      </c>
    </row>
    <row r="1067" spans="1:7" x14ac:dyDescent="0.25">
      <c r="A1067" s="8">
        <v>44897</v>
      </c>
      <c r="B1067" s="9" t="s">
        <v>1082</v>
      </c>
      <c r="C1067" s="9" t="s">
        <v>11</v>
      </c>
      <c r="D1067" s="9">
        <v>383.99</v>
      </c>
      <c r="E1067" s="9" t="s">
        <v>7</v>
      </c>
      <c r="F1067" s="12">
        <f>YEAR(Personal_Finance_Dataset[[#This Row],[Date]])</f>
        <v>2022</v>
      </c>
      <c r="G1067">
        <f t="shared" si="16"/>
        <v>2022</v>
      </c>
    </row>
    <row r="1068" spans="1:7" x14ac:dyDescent="0.25">
      <c r="A1068" s="8">
        <v>44898</v>
      </c>
      <c r="B1068" s="9" t="s">
        <v>1083</v>
      </c>
      <c r="C1068" s="9" t="s">
        <v>17</v>
      </c>
      <c r="D1068" s="9">
        <v>1484.48</v>
      </c>
      <c r="E1068" s="9" t="s">
        <v>7</v>
      </c>
      <c r="F1068" s="12">
        <f>YEAR(Personal_Finance_Dataset[[#This Row],[Date]])</f>
        <v>2022</v>
      </c>
      <c r="G1068">
        <f t="shared" si="16"/>
        <v>2022</v>
      </c>
    </row>
    <row r="1069" spans="1:7" x14ac:dyDescent="0.25">
      <c r="A1069" s="8">
        <v>44899</v>
      </c>
      <c r="B1069" s="9" t="s">
        <v>1084</v>
      </c>
      <c r="C1069" s="9" t="s">
        <v>25</v>
      </c>
      <c r="D1069" s="9">
        <v>1643.82</v>
      </c>
      <c r="E1069" s="9" t="s">
        <v>7</v>
      </c>
      <c r="F1069" s="12">
        <f>YEAR(Personal_Finance_Dataset[[#This Row],[Date]])</f>
        <v>2022</v>
      </c>
      <c r="G1069">
        <f t="shared" si="16"/>
        <v>2022</v>
      </c>
    </row>
    <row r="1070" spans="1:7" x14ac:dyDescent="0.25">
      <c r="A1070" s="8">
        <v>44900</v>
      </c>
      <c r="B1070" s="9" t="s">
        <v>1085</v>
      </c>
      <c r="C1070" s="9" t="s">
        <v>9</v>
      </c>
      <c r="D1070" s="9">
        <v>140.58000000000001</v>
      </c>
      <c r="E1070" s="9" t="s">
        <v>7</v>
      </c>
      <c r="F1070" s="12">
        <f>YEAR(Personal_Finance_Dataset[[#This Row],[Date]])</f>
        <v>2022</v>
      </c>
      <c r="G1070">
        <f t="shared" si="16"/>
        <v>2022</v>
      </c>
    </row>
    <row r="1071" spans="1:7" x14ac:dyDescent="0.25">
      <c r="A1071" s="8">
        <v>44901</v>
      </c>
      <c r="B1071" s="9" t="s">
        <v>1086</v>
      </c>
      <c r="C1071" s="9" t="s">
        <v>17</v>
      </c>
      <c r="D1071" s="9">
        <v>279.94</v>
      </c>
      <c r="E1071" s="9" t="s">
        <v>7</v>
      </c>
      <c r="F1071" s="12">
        <f>YEAR(Personal_Finance_Dataset[[#This Row],[Date]])</f>
        <v>2022</v>
      </c>
      <c r="G1071">
        <f t="shared" si="16"/>
        <v>2022</v>
      </c>
    </row>
    <row r="1072" spans="1:7" x14ac:dyDescent="0.25">
      <c r="A1072" s="8">
        <v>44902</v>
      </c>
      <c r="B1072" s="9" t="s">
        <v>1087</v>
      </c>
      <c r="C1072" s="9" t="s">
        <v>6</v>
      </c>
      <c r="D1072" s="9">
        <v>355.74</v>
      </c>
      <c r="E1072" s="9" t="s">
        <v>7</v>
      </c>
      <c r="F1072" s="12">
        <f>YEAR(Personal_Finance_Dataset[[#This Row],[Date]])</f>
        <v>2022</v>
      </c>
      <c r="G1072">
        <f t="shared" si="16"/>
        <v>2022</v>
      </c>
    </row>
    <row r="1073" spans="1:7" x14ac:dyDescent="0.25">
      <c r="A1073" s="8">
        <v>44903</v>
      </c>
      <c r="B1073" s="9" t="s">
        <v>1088</v>
      </c>
      <c r="C1073" s="9" t="s">
        <v>22</v>
      </c>
      <c r="D1073" s="9">
        <v>1675.58</v>
      </c>
      <c r="E1073" s="9" t="s">
        <v>7</v>
      </c>
      <c r="F1073" s="12">
        <f>YEAR(Personal_Finance_Dataset[[#This Row],[Date]])</f>
        <v>2022</v>
      </c>
      <c r="G1073">
        <f t="shared" si="16"/>
        <v>2022</v>
      </c>
    </row>
    <row r="1074" spans="1:7" x14ac:dyDescent="0.25">
      <c r="A1074" s="8">
        <v>44904</v>
      </c>
      <c r="B1074" s="9" t="s">
        <v>1089</v>
      </c>
      <c r="C1074" s="9" t="s">
        <v>27</v>
      </c>
      <c r="D1074" s="9">
        <v>110.61</v>
      </c>
      <c r="E1074" s="9" t="s">
        <v>7</v>
      </c>
      <c r="F1074" s="12">
        <f>YEAR(Personal_Finance_Dataset[[#This Row],[Date]])</f>
        <v>2022</v>
      </c>
      <c r="G1074">
        <f t="shared" si="16"/>
        <v>2022</v>
      </c>
    </row>
    <row r="1075" spans="1:7" x14ac:dyDescent="0.25">
      <c r="A1075" s="8">
        <v>44905</v>
      </c>
      <c r="B1075" s="9" t="s">
        <v>1090</v>
      </c>
      <c r="C1075" s="9" t="s">
        <v>22</v>
      </c>
      <c r="D1075" s="9">
        <v>555.22</v>
      </c>
      <c r="E1075" s="9" t="s">
        <v>7</v>
      </c>
      <c r="F1075" s="12">
        <f>YEAR(Personal_Finance_Dataset[[#This Row],[Date]])</f>
        <v>2022</v>
      </c>
      <c r="G1075">
        <f t="shared" si="16"/>
        <v>2022</v>
      </c>
    </row>
    <row r="1076" spans="1:7" x14ac:dyDescent="0.25">
      <c r="A1076" s="8">
        <v>44906</v>
      </c>
      <c r="B1076" s="9" t="s">
        <v>1091</v>
      </c>
      <c r="C1076" s="9" t="s">
        <v>17</v>
      </c>
      <c r="D1076" s="9">
        <v>1274.47</v>
      </c>
      <c r="E1076" s="9" t="s">
        <v>7</v>
      </c>
      <c r="F1076" s="12">
        <f>YEAR(Personal_Finance_Dataset[[#This Row],[Date]])</f>
        <v>2022</v>
      </c>
      <c r="G1076">
        <f t="shared" si="16"/>
        <v>2022</v>
      </c>
    </row>
    <row r="1077" spans="1:7" x14ac:dyDescent="0.25">
      <c r="A1077" s="8">
        <v>44907</v>
      </c>
      <c r="B1077" s="9" t="s">
        <v>1092</v>
      </c>
      <c r="C1077" s="9" t="s">
        <v>13</v>
      </c>
      <c r="D1077" s="9">
        <v>2481</v>
      </c>
      <c r="E1077" s="9" t="s">
        <v>14</v>
      </c>
      <c r="F1077" s="12">
        <f>YEAR(Personal_Finance_Dataset[[#This Row],[Date]])</f>
        <v>2022</v>
      </c>
      <c r="G1077">
        <f t="shared" si="16"/>
        <v>2022</v>
      </c>
    </row>
    <row r="1078" spans="1:7" x14ac:dyDescent="0.25">
      <c r="A1078" s="8">
        <v>44908</v>
      </c>
      <c r="B1078" s="9" t="s">
        <v>1093</v>
      </c>
      <c r="C1078" s="9" t="s">
        <v>27</v>
      </c>
      <c r="D1078" s="9">
        <v>363.39</v>
      </c>
      <c r="E1078" s="9" t="s">
        <v>7</v>
      </c>
      <c r="F1078" s="12">
        <f>YEAR(Personal_Finance_Dataset[[#This Row],[Date]])</f>
        <v>2022</v>
      </c>
      <c r="G1078">
        <f t="shared" si="16"/>
        <v>2022</v>
      </c>
    </row>
    <row r="1079" spans="1:7" x14ac:dyDescent="0.25">
      <c r="A1079" s="8">
        <v>44909</v>
      </c>
      <c r="B1079" s="9" t="s">
        <v>1094</v>
      </c>
      <c r="C1079" s="9" t="s">
        <v>25</v>
      </c>
      <c r="D1079" s="9">
        <v>695.06</v>
      </c>
      <c r="E1079" s="9" t="s">
        <v>7</v>
      </c>
      <c r="F1079" s="12">
        <f>YEAR(Personal_Finance_Dataset[[#This Row],[Date]])</f>
        <v>2022</v>
      </c>
      <c r="G1079">
        <f t="shared" si="16"/>
        <v>2022</v>
      </c>
    </row>
    <row r="1080" spans="1:7" x14ac:dyDescent="0.25">
      <c r="A1080" s="8">
        <v>44910</v>
      </c>
      <c r="B1080" s="9" t="s">
        <v>1095</v>
      </c>
      <c r="C1080" s="9" t="s">
        <v>35</v>
      </c>
      <c r="D1080" s="9">
        <v>1500.43</v>
      </c>
      <c r="E1080" s="9" t="s">
        <v>7</v>
      </c>
      <c r="F1080" s="12">
        <f>YEAR(Personal_Finance_Dataset[[#This Row],[Date]])</f>
        <v>2022</v>
      </c>
      <c r="G1080">
        <f t="shared" si="16"/>
        <v>2022</v>
      </c>
    </row>
    <row r="1081" spans="1:7" x14ac:dyDescent="0.25">
      <c r="A1081" s="8">
        <v>44911</v>
      </c>
      <c r="B1081" s="9" t="s">
        <v>1096</v>
      </c>
      <c r="C1081" s="9" t="s">
        <v>35</v>
      </c>
      <c r="D1081" s="9">
        <v>64.63</v>
      </c>
      <c r="E1081" s="9" t="s">
        <v>7</v>
      </c>
      <c r="F1081" s="12">
        <f>YEAR(Personal_Finance_Dataset[[#This Row],[Date]])</f>
        <v>2022</v>
      </c>
      <c r="G1081">
        <f t="shared" si="16"/>
        <v>2022</v>
      </c>
    </row>
    <row r="1082" spans="1:7" x14ac:dyDescent="0.25">
      <c r="A1082" s="8">
        <v>44912</v>
      </c>
      <c r="B1082" s="9" t="s">
        <v>1097</v>
      </c>
      <c r="C1082" s="9" t="s">
        <v>13</v>
      </c>
      <c r="D1082" s="9">
        <v>2313</v>
      </c>
      <c r="E1082" s="9" t="s">
        <v>14</v>
      </c>
      <c r="F1082" s="12">
        <f>YEAR(Personal_Finance_Dataset[[#This Row],[Date]])</f>
        <v>2022</v>
      </c>
      <c r="G1082">
        <f t="shared" si="16"/>
        <v>2022</v>
      </c>
    </row>
    <row r="1083" spans="1:7" x14ac:dyDescent="0.25">
      <c r="A1083" s="8">
        <v>44913</v>
      </c>
      <c r="B1083" s="9" t="s">
        <v>1098</v>
      </c>
      <c r="C1083" s="9" t="s">
        <v>22</v>
      </c>
      <c r="D1083" s="9">
        <v>545.48</v>
      </c>
      <c r="E1083" s="9" t="s">
        <v>7</v>
      </c>
      <c r="F1083" s="12">
        <f>YEAR(Personal_Finance_Dataset[[#This Row],[Date]])</f>
        <v>2022</v>
      </c>
      <c r="G1083">
        <f t="shared" si="16"/>
        <v>2022</v>
      </c>
    </row>
    <row r="1084" spans="1:7" x14ac:dyDescent="0.25">
      <c r="A1084" s="8">
        <v>44914</v>
      </c>
      <c r="B1084" s="9" t="s">
        <v>1099</v>
      </c>
      <c r="C1084" s="9" t="s">
        <v>6</v>
      </c>
      <c r="D1084" s="9">
        <v>1730.61</v>
      </c>
      <c r="E1084" s="9" t="s">
        <v>7</v>
      </c>
      <c r="F1084" s="12">
        <f>YEAR(Personal_Finance_Dataset[[#This Row],[Date]])</f>
        <v>2022</v>
      </c>
      <c r="G1084">
        <f t="shared" si="16"/>
        <v>2022</v>
      </c>
    </row>
    <row r="1085" spans="1:7" x14ac:dyDescent="0.25">
      <c r="A1085" s="8">
        <v>44915</v>
      </c>
      <c r="B1085" s="9" t="s">
        <v>1100</v>
      </c>
      <c r="C1085" s="9" t="s">
        <v>6</v>
      </c>
      <c r="D1085" s="9">
        <v>953.45</v>
      </c>
      <c r="E1085" s="9" t="s">
        <v>7</v>
      </c>
      <c r="F1085" s="12">
        <f>YEAR(Personal_Finance_Dataset[[#This Row],[Date]])</f>
        <v>2022</v>
      </c>
      <c r="G1085">
        <f t="shared" si="16"/>
        <v>2022</v>
      </c>
    </row>
    <row r="1086" spans="1:7" x14ac:dyDescent="0.25">
      <c r="A1086" s="8">
        <v>44916</v>
      </c>
      <c r="B1086" s="9" t="s">
        <v>1101</v>
      </c>
      <c r="C1086" s="9" t="s">
        <v>13</v>
      </c>
      <c r="D1086" s="9">
        <v>569</v>
      </c>
      <c r="E1086" s="9" t="s">
        <v>14</v>
      </c>
      <c r="F1086" s="12">
        <f>YEAR(Personal_Finance_Dataset[[#This Row],[Date]])</f>
        <v>2022</v>
      </c>
      <c r="G1086">
        <f t="shared" si="16"/>
        <v>2022</v>
      </c>
    </row>
    <row r="1087" spans="1:7" x14ac:dyDescent="0.25">
      <c r="A1087" s="8">
        <v>44917</v>
      </c>
      <c r="B1087" s="9" t="s">
        <v>1102</v>
      </c>
      <c r="C1087" s="9" t="s">
        <v>35</v>
      </c>
      <c r="D1087" s="9">
        <v>1428.35</v>
      </c>
      <c r="E1087" s="9" t="s">
        <v>7</v>
      </c>
      <c r="F1087" s="12">
        <f>YEAR(Personal_Finance_Dataset[[#This Row],[Date]])</f>
        <v>2022</v>
      </c>
      <c r="G1087">
        <f t="shared" si="16"/>
        <v>2022</v>
      </c>
    </row>
    <row r="1088" spans="1:7" x14ac:dyDescent="0.25">
      <c r="A1088" s="8">
        <v>44918</v>
      </c>
      <c r="B1088" s="9" t="s">
        <v>1103</v>
      </c>
      <c r="C1088" s="9" t="s">
        <v>35</v>
      </c>
      <c r="D1088" s="9">
        <v>853.38</v>
      </c>
      <c r="E1088" s="9" t="s">
        <v>7</v>
      </c>
      <c r="F1088" s="12">
        <f>YEAR(Personal_Finance_Dataset[[#This Row],[Date]])</f>
        <v>2022</v>
      </c>
      <c r="G1088">
        <f t="shared" si="16"/>
        <v>2022</v>
      </c>
    </row>
    <row r="1089" spans="1:7" x14ac:dyDescent="0.25">
      <c r="A1089" s="8">
        <v>44919</v>
      </c>
      <c r="B1089" s="9" t="s">
        <v>1104</v>
      </c>
      <c r="C1089" s="9" t="s">
        <v>25</v>
      </c>
      <c r="D1089" s="9">
        <v>923.41</v>
      </c>
      <c r="E1089" s="9" t="s">
        <v>7</v>
      </c>
      <c r="F1089" s="12">
        <f>YEAR(Personal_Finance_Dataset[[#This Row],[Date]])</f>
        <v>2022</v>
      </c>
      <c r="G1089">
        <f t="shared" si="16"/>
        <v>2022</v>
      </c>
    </row>
    <row r="1090" spans="1:7" x14ac:dyDescent="0.25">
      <c r="A1090" s="8">
        <v>44920</v>
      </c>
      <c r="B1090" s="9" t="s">
        <v>1105</v>
      </c>
      <c r="C1090" s="9" t="s">
        <v>35</v>
      </c>
      <c r="D1090" s="9">
        <v>1357.62</v>
      </c>
      <c r="E1090" s="9" t="s">
        <v>7</v>
      </c>
      <c r="F1090" s="12">
        <f>YEAR(Personal_Finance_Dataset[[#This Row],[Date]])</f>
        <v>2022</v>
      </c>
      <c r="G1090">
        <f t="shared" ref="G1090:G1153" si="17">YEAR(A1090)</f>
        <v>2022</v>
      </c>
    </row>
    <row r="1091" spans="1:7" x14ac:dyDescent="0.25">
      <c r="A1091" s="8">
        <v>44921</v>
      </c>
      <c r="B1091" s="9" t="s">
        <v>1106</v>
      </c>
      <c r="C1091" s="9" t="s">
        <v>17</v>
      </c>
      <c r="D1091" s="9">
        <v>1173.1300000000001</v>
      </c>
      <c r="E1091" s="9" t="s">
        <v>7</v>
      </c>
      <c r="F1091" s="12">
        <f>YEAR(Personal_Finance_Dataset[[#This Row],[Date]])</f>
        <v>2022</v>
      </c>
      <c r="G1091">
        <f t="shared" si="17"/>
        <v>2022</v>
      </c>
    </row>
    <row r="1092" spans="1:7" x14ac:dyDescent="0.25">
      <c r="A1092" s="8">
        <v>44922</v>
      </c>
      <c r="B1092" s="9" t="s">
        <v>1107</v>
      </c>
      <c r="C1092" s="9" t="s">
        <v>20</v>
      </c>
      <c r="D1092" s="9">
        <v>2815</v>
      </c>
      <c r="E1092" s="9" t="s">
        <v>14</v>
      </c>
      <c r="F1092" s="12">
        <f>YEAR(Personal_Finance_Dataset[[#This Row],[Date]])</f>
        <v>2022</v>
      </c>
      <c r="G1092">
        <f t="shared" si="17"/>
        <v>2022</v>
      </c>
    </row>
    <row r="1093" spans="1:7" x14ac:dyDescent="0.25">
      <c r="A1093" s="8">
        <v>44923</v>
      </c>
      <c r="B1093" s="9" t="s">
        <v>1108</v>
      </c>
      <c r="C1093" s="9" t="s">
        <v>11</v>
      </c>
      <c r="D1093" s="9">
        <v>968.66</v>
      </c>
      <c r="E1093" s="9" t="s">
        <v>7</v>
      </c>
      <c r="F1093" s="12">
        <f>YEAR(Personal_Finance_Dataset[[#This Row],[Date]])</f>
        <v>2022</v>
      </c>
      <c r="G1093">
        <f t="shared" si="17"/>
        <v>2022</v>
      </c>
    </row>
    <row r="1094" spans="1:7" x14ac:dyDescent="0.25">
      <c r="A1094" s="8">
        <v>44924</v>
      </c>
      <c r="B1094" s="9" t="s">
        <v>1109</v>
      </c>
      <c r="C1094" s="9" t="s">
        <v>35</v>
      </c>
      <c r="D1094" s="9">
        <v>1284.78</v>
      </c>
      <c r="E1094" s="9" t="s">
        <v>7</v>
      </c>
      <c r="F1094" s="12">
        <f>YEAR(Personal_Finance_Dataset[[#This Row],[Date]])</f>
        <v>2022</v>
      </c>
      <c r="G1094">
        <f t="shared" si="17"/>
        <v>2022</v>
      </c>
    </row>
    <row r="1095" spans="1:7" x14ac:dyDescent="0.25">
      <c r="A1095" s="8">
        <v>44925</v>
      </c>
      <c r="B1095" s="9" t="s">
        <v>1110</v>
      </c>
      <c r="C1095" s="9" t="s">
        <v>35</v>
      </c>
      <c r="D1095" s="9">
        <v>1315.68</v>
      </c>
      <c r="E1095" s="9" t="s">
        <v>7</v>
      </c>
      <c r="F1095" s="12">
        <f>YEAR(Personal_Finance_Dataset[[#This Row],[Date]])</f>
        <v>2022</v>
      </c>
      <c r="G1095">
        <f t="shared" si="17"/>
        <v>2022</v>
      </c>
    </row>
    <row r="1096" spans="1:7" x14ac:dyDescent="0.25">
      <c r="A1096" s="8">
        <v>44926</v>
      </c>
      <c r="B1096" s="9" t="s">
        <v>1111</v>
      </c>
      <c r="C1096" s="9" t="s">
        <v>35</v>
      </c>
      <c r="D1096" s="9">
        <v>384.84</v>
      </c>
      <c r="E1096" s="9" t="s">
        <v>7</v>
      </c>
      <c r="F1096" s="12">
        <f>YEAR(Personal_Finance_Dataset[[#This Row],[Date]])</f>
        <v>2022</v>
      </c>
      <c r="G1096">
        <f t="shared" si="17"/>
        <v>2022</v>
      </c>
    </row>
    <row r="1097" spans="1:7" x14ac:dyDescent="0.25">
      <c r="A1097" s="8">
        <v>44927</v>
      </c>
      <c r="B1097" s="9" t="s">
        <v>1112</v>
      </c>
      <c r="C1097" s="9" t="s">
        <v>22</v>
      </c>
      <c r="D1097" s="9">
        <v>1800.38</v>
      </c>
      <c r="E1097" s="9" t="s">
        <v>7</v>
      </c>
      <c r="F1097" s="12">
        <f>YEAR(Personal_Finance_Dataset[[#This Row],[Date]])</f>
        <v>2023</v>
      </c>
      <c r="G1097">
        <f t="shared" si="17"/>
        <v>2023</v>
      </c>
    </row>
    <row r="1098" spans="1:7" x14ac:dyDescent="0.25">
      <c r="A1098" s="8">
        <v>44928</v>
      </c>
      <c r="B1098" s="9" t="s">
        <v>1113</v>
      </c>
      <c r="C1098" s="9" t="s">
        <v>17</v>
      </c>
      <c r="D1098" s="9">
        <v>1324.46</v>
      </c>
      <c r="E1098" s="9" t="s">
        <v>7</v>
      </c>
      <c r="F1098" s="12">
        <f>YEAR(Personal_Finance_Dataset[[#This Row],[Date]])</f>
        <v>2023</v>
      </c>
      <c r="G1098">
        <f t="shared" si="17"/>
        <v>2023</v>
      </c>
    </row>
    <row r="1099" spans="1:7" x14ac:dyDescent="0.25">
      <c r="A1099" s="8">
        <v>44929</v>
      </c>
      <c r="B1099" s="9" t="s">
        <v>1114</v>
      </c>
      <c r="C1099" s="9" t="s">
        <v>6</v>
      </c>
      <c r="D1099" s="9">
        <v>1314.25</v>
      </c>
      <c r="E1099" s="9" t="s">
        <v>7</v>
      </c>
      <c r="F1099" s="12">
        <f>YEAR(Personal_Finance_Dataset[[#This Row],[Date]])</f>
        <v>2023</v>
      </c>
      <c r="G1099">
        <f t="shared" si="17"/>
        <v>2023</v>
      </c>
    </row>
    <row r="1100" spans="1:7" x14ac:dyDescent="0.25">
      <c r="A1100" s="8">
        <v>44930</v>
      </c>
      <c r="B1100" s="9" t="s">
        <v>1115</v>
      </c>
      <c r="C1100" s="9" t="s">
        <v>35</v>
      </c>
      <c r="D1100" s="9">
        <v>1814.75</v>
      </c>
      <c r="E1100" s="9" t="s">
        <v>7</v>
      </c>
      <c r="F1100" s="12">
        <f>YEAR(Personal_Finance_Dataset[[#This Row],[Date]])</f>
        <v>2023</v>
      </c>
      <c r="G1100">
        <f t="shared" si="17"/>
        <v>2023</v>
      </c>
    </row>
    <row r="1101" spans="1:7" x14ac:dyDescent="0.25">
      <c r="A1101" s="8">
        <v>44931</v>
      </c>
      <c r="B1101" s="9" t="s">
        <v>1116</v>
      </c>
      <c r="C1101" s="9" t="s">
        <v>6</v>
      </c>
      <c r="D1101" s="9">
        <v>1170.22</v>
      </c>
      <c r="E1101" s="9" t="s">
        <v>7</v>
      </c>
      <c r="F1101" s="12">
        <f>YEAR(Personal_Finance_Dataset[[#This Row],[Date]])</f>
        <v>2023</v>
      </c>
      <c r="G1101">
        <f t="shared" si="17"/>
        <v>2023</v>
      </c>
    </row>
    <row r="1102" spans="1:7" x14ac:dyDescent="0.25">
      <c r="A1102" s="8">
        <v>44932</v>
      </c>
      <c r="B1102" s="9" t="s">
        <v>1117</v>
      </c>
      <c r="C1102" s="9" t="s">
        <v>22</v>
      </c>
      <c r="D1102" s="9">
        <v>692.9</v>
      </c>
      <c r="E1102" s="9" t="s">
        <v>7</v>
      </c>
      <c r="F1102" s="12">
        <f>YEAR(Personal_Finance_Dataset[[#This Row],[Date]])</f>
        <v>2023</v>
      </c>
      <c r="G1102">
        <f t="shared" si="17"/>
        <v>2023</v>
      </c>
    </row>
    <row r="1103" spans="1:7" x14ac:dyDescent="0.25">
      <c r="A1103" s="8">
        <v>44933</v>
      </c>
      <c r="B1103" s="9" t="s">
        <v>1118</v>
      </c>
      <c r="C1103" s="9" t="s">
        <v>27</v>
      </c>
      <c r="D1103" s="9">
        <v>1813.99</v>
      </c>
      <c r="E1103" s="9" t="s">
        <v>7</v>
      </c>
      <c r="F1103" s="12">
        <f>YEAR(Personal_Finance_Dataset[[#This Row],[Date]])</f>
        <v>2023</v>
      </c>
      <c r="G1103">
        <f t="shared" si="17"/>
        <v>2023</v>
      </c>
    </row>
    <row r="1104" spans="1:7" x14ac:dyDescent="0.25">
      <c r="A1104" s="8">
        <v>44934</v>
      </c>
      <c r="B1104" s="9" t="s">
        <v>1119</v>
      </c>
      <c r="C1104" s="9" t="s">
        <v>35</v>
      </c>
      <c r="D1104" s="9">
        <v>1692.38</v>
      </c>
      <c r="E1104" s="9" t="s">
        <v>7</v>
      </c>
      <c r="F1104" s="12">
        <f>YEAR(Personal_Finance_Dataset[[#This Row],[Date]])</f>
        <v>2023</v>
      </c>
      <c r="G1104">
        <f t="shared" si="17"/>
        <v>2023</v>
      </c>
    </row>
    <row r="1105" spans="1:7" x14ac:dyDescent="0.25">
      <c r="A1105" s="8">
        <v>44935</v>
      </c>
      <c r="B1105" s="9" t="s">
        <v>1120</v>
      </c>
      <c r="C1105" s="9" t="s">
        <v>9</v>
      </c>
      <c r="D1105" s="9">
        <v>594.63</v>
      </c>
      <c r="E1105" s="9" t="s">
        <v>7</v>
      </c>
      <c r="F1105" s="12">
        <f>YEAR(Personal_Finance_Dataset[[#This Row],[Date]])</f>
        <v>2023</v>
      </c>
      <c r="G1105">
        <f t="shared" si="17"/>
        <v>2023</v>
      </c>
    </row>
    <row r="1106" spans="1:7" x14ac:dyDescent="0.25">
      <c r="A1106" s="8">
        <v>44936</v>
      </c>
      <c r="B1106" s="9" t="s">
        <v>1121</v>
      </c>
      <c r="C1106" s="9" t="s">
        <v>35</v>
      </c>
      <c r="D1106" s="9">
        <v>1453.12</v>
      </c>
      <c r="E1106" s="9" t="s">
        <v>7</v>
      </c>
      <c r="F1106" s="12">
        <f>YEAR(Personal_Finance_Dataset[[#This Row],[Date]])</f>
        <v>2023</v>
      </c>
      <c r="G1106">
        <f t="shared" si="17"/>
        <v>2023</v>
      </c>
    </row>
    <row r="1107" spans="1:7" x14ac:dyDescent="0.25">
      <c r="A1107" s="8">
        <v>44937</v>
      </c>
      <c r="B1107" s="9" t="s">
        <v>1122</v>
      </c>
      <c r="C1107" s="9" t="s">
        <v>9</v>
      </c>
      <c r="D1107" s="9">
        <v>1894.38</v>
      </c>
      <c r="E1107" s="9" t="s">
        <v>7</v>
      </c>
      <c r="F1107" s="12">
        <f>YEAR(Personal_Finance_Dataset[[#This Row],[Date]])</f>
        <v>2023</v>
      </c>
      <c r="G1107">
        <f t="shared" si="17"/>
        <v>2023</v>
      </c>
    </row>
    <row r="1108" spans="1:7" x14ac:dyDescent="0.25">
      <c r="A1108" s="8">
        <v>44938</v>
      </c>
      <c r="B1108" s="9" t="s">
        <v>1123</v>
      </c>
      <c r="C1108" s="9" t="s">
        <v>11</v>
      </c>
      <c r="D1108" s="9">
        <v>452.28</v>
      </c>
      <c r="E1108" s="9" t="s">
        <v>7</v>
      </c>
      <c r="F1108" s="12">
        <f>YEAR(Personal_Finance_Dataset[[#This Row],[Date]])</f>
        <v>2023</v>
      </c>
      <c r="G1108">
        <f t="shared" si="17"/>
        <v>2023</v>
      </c>
    </row>
    <row r="1109" spans="1:7" x14ac:dyDescent="0.25">
      <c r="A1109" s="8">
        <v>44939</v>
      </c>
      <c r="B1109" s="9" t="s">
        <v>1124</v>
      </c>
      <c r="C1109" s="9" t="s">
        <v>35</v>
      </c>
      <c r="D1109" s="9">
        <v>846.74</v>
      </c>
      <c r="E1109" s="9" t="s">
        <v>7</v>
      </c>
      <c r="F1109" s="12">
        <f>YEAR(Personal_Finance_Dataset[[#This Row],[Date]])</f>
        <v>2023</v>
      </c>
      <c r="G1109">
        <f t="shared" si="17"/>
        <v>2023</v>
      </c>
    </row>
    <row r="1110" spans="1:7" x14ac:dyDescent="0.25">
      <c r="A1110" s="8">
        <v>44940</v>
      </c>
      <c r="B1110" s="9" t="s">
        <v>1125</v>
      </c>
      <c r="C1110" s="9" t="s">
        <v>25</v>
      </c>
      <c r="D1110" s="9">
        <v>528.51</v>
      </c>
      <c r="E1110" s="9" t="s">
        <v>7</v>
      </c>
      <c r="F1110" s="12">
        <f>YEAR(Personal_Finance_Dataset[[#This Row],[Date]])</f>
        <v>2023</v>
      </c>
      <c r="G1110">
        <f t="shared" si="17"/>
        <v>2023</v>
      </c>
    </row>
    <row r="1111" spans="1:7" x14ac:dyDescent="0.25">
      <c r="A1111" s="8">
        <v>44941</v>
      </c>
      <c r="B1111" s="9" t="s">
        <v>1126</v>
      </c>
      <c r="C1111" s="9" t="s">
        <v>11</v>
      </c>
      <c r="D1111" s="9">
        <v>946.37</v>
      </c>
      <c r="E1111" s="9" t="s">
        <v>7</v>
      </c>
      <c r="F1111" s="12">
        <f>YEAR(Personal_Finance_Dataset[[#This Row],[Date]])</f>
        <v>2023</v>
      </c>
      <c r="G1111">
        <f t="shared" si="17"/>
        <v>2023</v>
      </c>
    </row>
    <row r="1112" spans="1:7" x14ac:dyDescent="0.25">
      <c r="A1112" s="8">
        <v>44942</v>
      </c>
      <c r="B1112" s="9" t="s">
        <v>1127</v>
      </c>
      <c r="C1112" s="9" t="s">
        <v>11</v>
      </c>
      <c r="D1112" s="9">
        <v>949.72</v>
      </c>
      <c r="E1112" s="9" t="s">
        <v>7</v>
      </c>
      <c r="F1112" s="12">
        <f>YEAR(Personal_Finance_Dataset[[#This Row],[Date]])</f>
        <v>2023</v>
      </c>
      <c r="G1112">
        <f t="shared" si="17"/>
        <v>2023</v>
      </c>
    </row>
    <row r="1113" spans="1:7" x14ac:dyDescent="0.25">
      <c r="A1113" s="8">
        <v>44943</v>
      </c>
      <c r="B1113" s="9" t="s">
        <v>1128</v>
      </c>
      <c r="C1113" s="9" t="s">
        <v>13</v>
      </c>
      <c r="D1113" s="9">
        <v>3626</v>
      </c>
      <c r="E1113" s="9" t="s">
        <v>14</v>
      </c>
      <c r="F1113" s="12">
        <f>YEAR(Personal_Finance_Dataset[[#This Row],[Date]])</f>
        <v>2023</v>
      </c>
      <c r="G1113">
        <f t="shared" si="17"/>
        <v>2023</v>
      </c>
    </row>
    <row r="1114" spans="1:7" x14ac:dyDescent="0.25">
      <c r="A1114" s="8">
        <v>44944</v>
      </c>
      <c r="B1114" s="9" t="s">
        <v>1129</v>
      </c>
      <c r="C1114" s="9" t="s">
        <v>17</v>
      </c>
      <c r="D1114" s="9">
        <v>117.58</v>
      </c>
      <c r="E1114" s="9" t="s">
        <v>7</v>
      </c>
      <c r="F1114" s="12">
        <f>YEAR(Personal_Finance_Dataset[[#This Row],[Date]])</f>
        <v>2023</v>
      </c>
      <c r="G1114">
        <f t="shared" si="17"/>
        <v>2023</v>
      </c>
    </row>
    <row r="1115" spans="1:7" x14ac:dyDescent="0.25">
      <c r="A1115" s="8">
        <v>44945</v>
      </c>
      <c r="B1115" s="9" t="s">
        <v>1130</v>
      </c>
      <c r="C1115" s="9" t="s">
        <v>9</v>
      </c>
      <c r="D1115" s="9">
        <v>1984.77</v>
      </c>
      <c r="E1115" s="9" t="s">
        <v>7</v>
      </c>
      <c r="F1115" s="12">
        <f>YEAR(Personal_Finance_Dataset[[#This Row],[Date]])</f>
        <v>2023</v>
      </c>
      <c r="G1115">
        <f t="shared" si="17"/>
        <v>2023</v>
      </c>
    </row>
    <row r="1116" spans="1:7" x14ac:dyDescent="0.25">
      <c r="A1116" s="8">
        <v>44946</v>
      </c>
      <c r="B1116" s="9" t="s">
        <v>1131</v>
      </c>
      <c r="C1116" s="9" t="s">
        <v>27</v>
      </c>
      <c r="D1116" s="9">
        <v>295.02</v>
      </c>
      <c r="E1116" s="9" t="s">
        <v>7</v>
      </c>
      <c r="F1116" s="12">
        <f>YEAR(Personal_Finance_Dataset[[#This Row],[Date]])</f>
        <v>2023</v>
      </c>
      <c r="G1116">
        <f t="shared" si="17"/>
        <v>2023</v>
      </c>
    </row>
    <row r="1117" spans="1:7" x14ac:dyDescent="0.25">
      <c r="A1117" s="8">
        <v>44947</v>
      </c>
      <c r="B1117" s="9" t="s">
        <v>1132</v>
      </c>
      <c r="C1117" s="9" t="s">
        <v>9</v>
      </c>
      <c r="D1117" s="9">
        <v>1560.09</v>
      </c>
      <c r="E1117" s="9" t="s">
        <v>7</v>
      </c>
      <c r="F1117" s="12">
        <f>YEAR(Personal_Finance_Dataset[[#This Row],[Date]])</f>
        <v>2023</v>
      </c>
      <c r="G1117">
        <f t="shared" si="17"/>
        <v>2023</v>
      </c>
    </row>
    <row r="1118" spans="1:7" x14ac:dyDescent="0.25">
      <c r="A1118" s="8">
        <v>44948</v>
      </c>
      <c r="B1118" s="9" t="s">
        <v>1133</v>
      </c>
      <c r="C1118" s="9" t="s">
        <v>9</v>
      </c>
      <c r="D1118" s="9">
        <v>633.69000000000005</v>
      </c>
      <c r="E1118" s="9" t="s">
        <v>7</v>
      </c>
      <c r="F1118" s="12">
        <f>YEAR(Personal_Finance_Dataset[[#This Row],[Date]])</f>
        <v>2023</v>
      </c>
      <c r="G1118">
        <f t="shared" si="17"/>
        <v>2023</v>
      </c>
    </row>
    <row r="1119" spans="1:7" x14ac:dyDescent="0.25">
      <c r="A1119" s="8">
        <v>44949</v>
      </c>
      <c r="B1119" s="9" t="s">
        <v>1134</v>
      </c>
      <c r="C1119" s="9" t="s">
        <v>20</v>
      </c>
      <c r="D1119" s="9">
        <v>2740</v>
      </c>
      <c r="E1119" s="9" t="s">
        <v>14</v>
      </c>
      <c r="F1119" s="12">
        <f>YEAR(Personal_Finance_Dataset[[#This Row],[Date]])</f>
        <v>2023</v>
      </c>
      <c r="G1119">
        <f t="shared" si="17"/>
        <v>2023</v>
      </c>
    </row>
    <row r="1120" spans="1:7" x14ac:dyDescent="0.25">
      <c r="A1120" s="8">
        <v>44950</v>
      </c>
      <c r="B1120" s="9" t="s">
        <v>1135</v>
      </c>
      <c r="C1120" s="9" t="s">
        <v>9</v>
      </c>
      <c r="D1120" s="9">
        <v>1156.8</v>
      </c>
      <c r="E1120" s="9" t="s">
        <v>7</v>
      </c>
      <c r="F1120" s="12">
        <f>YEAR(Personal_Finance_Dataset[[#This Row],[Date]])</f>
        <v>2023</v>
      </c>
      <c r="G1120">
        <f t="shared" si="17"/>
        <v>2023</v>
      </c>
    </row>
    <row r="1121" spans="1:7" x14ac:dyDescent="0.25">
      <c r="A1121" s="8">
        <v>44951</v>
      </c>
      <c r="B1121" s="9" t="s">
        <v>1136</v>
      </c>
      <c r="C1121" s="9" t="s">
        <v>13</v>
      </c>
      <c r="D1121" s="9">
        <v>1560</v>
      </c>
      <c r="E1121" s="9" t="s">
        <v>14</v>
      </c>
      <c r="F1121" s="12">
        <f>YEAR(Personal_Finance_Dataset[[#This Row],[Date]])</f>
        <v>2023</v>
      </c>
      <c r="G1121">
        <f t="shared" si="17"/>
        <v>2023</v>
      </c>
    </row>
    <row r="1122" spans="1:7" x14ac:dyDescent="0.25">
      <c r="A1122" s="8">
        <v>44952</v>
      </c>
      <c r="B1122" s="9" t="s">
        <v>1137</v>
      </c>
      <c r="C1122" s="9" t="s">
        <v>17</v>
      </c>
      <c r="D1122" s="9">
        <v>812.75</v>
      </c>
      <c r="E1122" s="9" t="s">
        <v>7</v>
      </c>
      <c r="F1122" s="12">
        <f>YEAR(Personal_Finance_Dataset[[#This Row],[Date]])</f>
        <v>2023</v>
      </c>
      <c r="G1122">
        <f t="shared" si="17"/>
        <v>2023</v>
      </c>
    </row>
    <row r="1123" spans="1:7" x14ac:dyDescent="0.25">
      <c r="A1123" s="8">
        <v>44953</v>
      </c>
      <c r="B1123" s="9" t="s">
        <v>1138</v>
      </c>
      <c r="C1123" s="9" t="s">
        <v>17</v>
      </c>
      <c r="D1123" s="9">
        <v>19.29</v>
      </c>
      <c r="E1123" s="9" t="s">
        <v>7</v>
      </c>
      <c r="F1123" s="12">
        <f>YEAR(Personal_Finance_Dataset[[#This Row],[Date]])</f>
        <v>2023</v>
      </c>
      <c r="G1123">
        <f t="shared" si="17"/>
        <v>2023</v>
      </c>
    </row>
    <row r="1124" spans="1:7" x14ac:dyDescent="0.25">
      <c r="A1124" s="8">
        <v>44954</v>
      </c>
      <c r="B1124" s="9" t="s">
        <v>1139</v>
      </c>
      <c r="C1124" s="9" t="s">
        <v>25</v>
      </c>
      <c r="D1124" s="9">
        <v>1900.64</v>
      </c>
      <c r="E1124" s="9" t="s">
        <v>7</v>
      </c>
      <c r="F1124" s="12">
        <f>YEAR(Personal_Finance_Dataset[[#This Row],[Date]])</f>
        <v>2023</v>
      </c>
      <c r="G1124">
        <f t="shared" si="17"/>
        <v>2023</v>
      </c>
    </row>
    <row r="1125" spans="1:7" x14ac:dyDescent="0.25">
      <c r="A1125" s="8">
        <v>44955</v>
      </c>
      <c r="B1125" s="9" t="s">
        <v>1140</v>
      </c>
      <c r="C1125" s="9" t="s">
        <v>22</v>
      </c>
      <c r="D1125" s="9">
        <v>45.65</v>
      </c>
      <c r="E1125" s="9" t="s">
        <v>7</v>
      </c>
      <c r="F1125" s="12">
        <f>YEAR(Personal_Finance_Dataset[[#This Row],[Date]])</f>
        <v>2023</v>
      </c>
      <c r="G1125">
        <f t="shared" si="17"/>
        <v>2023</v>
      </c>
    </row>
    <row r="1126" spans="1:7" x14ac:dyDescent="0.25">
      <c r="A1126" s="8">
        <v>44956</v>
      </c>
      <c r="B1126" s="9" t="s">
        <v>1141</v>
      </c>
      <c r="C1126" s="9" t="s">
        <v>13</v>
      </c>
      <c r="D1126" s="9">
        <v>2353</v>
      </c>
      <c r="E1126" s="9" t="s">
        <v>14</v>
      </c>
      <c r="F1126" s="12">
        <f>YEAR(Personal_Finance_Dataset[[#This Row],[Date]])</f>
        <v>2023</v>
      </c>
      <c r="G1126">
        <f t="shared" si="17"/>
        <v>2023</v>
      </c>
    </row>
    <row r="1127" spans="1:7" x14ac:dyDescent="0.25">
      <c r="A1127" s="8">
        <v>44957</v>
      </c>
      <c r="B1127" s="9" t="s">
        <v>1142</v>
      </c>
      <c r="C1127" s="9" t="s">
        <v>25</v>
      </c>
      <c r="D1127" s="9">
        <v>631.05999999999995</v>
      </c>
      <c r="E1127" s="9" t="s">
        <v>7</v>
      </c>
      <c r="F1127" s="12">
        <f>YEAR(Personal_Finance_Dataset[[#This Row],[Date]])</f>
        <v>2023</v>
      </c>
      <c r="G1127">
        <f t="shared" si="17"/>
        <v>2023</v>
      </c>
    </row>
    <row r="1128" spans="1:7" x14ac:dyDescent="0.25">
      <c r="A1128" s="8">
        <v>44958</v>
      </c>
      <c r="B1128" s="9" t="s">
        <v>1143</v>
      </c>
      <c r="C1128" s="9" t="s">
        <v>20</v>
      </c>
      <c r="D1128" s="9">
        <v>1868</v>
      </c>
      <c r="E1128" s="9" t="s">
        <v>14</v>
      </c>
      <c r="F1128" s="12">
        <f>YEAR(Personal_Finance_Dataset[[#This Row],[Date]])</f>
        <v>2023</v>
      </c>
      <c r="G1128">
        <f t="shared" si="17"/>
        <v>2023</v>
      </c>
    </row>
    <row r="1129" spans="1:7" x14ac:dyDescent="0.25">
      <c r="A1129" s="8">
        <v>44959</v>
      </c>
      <c r="B1129" s="9" t="s">
        <v>1144</v>
      </c>
      <c r="C1129" s="9" t="s">
        <v>13</v>
      </c>
      <c r="D1129" s="9">
        <v>2942</v>
      </c>
      <c r="E1129" s="9" t="s">
        <v>14</v>
      </c>
      <c r="F1129" s="12">
        <f>YEAR(Personal_Finance_Dataset[[#This Row],[Date]])</f>
        <v>2023</v>
      </c>
      <c r="G1129">
        <f t="shared" si="17"/>
        <v>2023</v>
      </c>
    </row>
    <row r="1130" spans="1:7" x14ac:dyDescent="0.25">
      <c r="A1130" s="8">
        <v>44960</v>
      </c>
      <c r="B1130" s="9" t="s">
        <v>1145</v>
      </c>
      <c r="C1130" s="9" t="s">
        <v>27</v>
      </c>
      <c r="D1130" s="9">
        <v>1458.39</v>
      </c>
      <c r="E1130" s="9" t="s">
        <v>7</v>
      </c>
      <c r="F1130" s="12">
        <f>YEAR(Personal_Finance_Dataset[[#This Row],[Date]])</f>
        <v>2023</v>
      </c>
      <c r="G1130">
        <f t="shared" si="17"/>
        <v>2023</v>
      </c>
    </row>
    <row r="1131" spans="1:7" x14ac:dyDescent="0.25">
      <c r="A1131" s="8">
        <v>44961</v>
      </c>
      <c r="B1131" s="9" t="s">
        <v>1146</v>
      </c>
      <c r="C1131" s="9" t="s">
        <v>25</v>
      </c>
      <c r="D1131" s="9">
        <v>872.99</v>
      </c>
      <c r="E1131" s="9" t="s">
        <v>7</v>
      </c>
      <c r="F1131" s="12">
        <f>YEAR(Personal_Finance_Dataset[[#This Row],[Date]])</f>
        <v>2023</v>
      </c>
      <c r="G1131">
        <f t="shared" si="17"/>
        <v>2023</v>
      </c>
    </row>
    <row r="1132" spans="1:7" x14ac:dyDescent="0.25">
      <c r="A1132" s="8">
        <v>44962</v>
      </c>
      <c r="B1132" s="9" t="s">
        <v>1147</v>
      </c>
      <c r="C1132" s="9" t="s">
        <v>9</v>
      </c>
      <c r="D1132" s="9">
        <v>692.04</v>
      </c>
      <c r="E1132" s="9" t="s">
        <v>7</v>
      </c>
      <c r="F1132" s="12">
        <f>YEAR(Personal_Finance_Dataset[[#This Row],[Date]])</f>
        <v>2023</v>
      </c>
      <c r="G1132">
        <f t="shared" si="17"/>
        <v>2023</v>
      </c>
    </row>
    <row r="1133" spans="1:7" x14ac:dyDescent="0.25">
      <c r="A1133" s="8">
        <v>44963</v>
      </c>
      <c r="B1133" s="9" t="s">
        <v>1148</v>
      </c>
      <c r="C1133" s="9" t="s">
        <v>25</v>
      </c>
      <c r="D1133" s="9">
        <v>1502.73</v>
      </c>
      <c r="E1133" s="9" t="s">
        <v>7</v>
      </c>
      <c r="F1133" s="12">
        <f>YEAR(Personal_Finance_Dataset[[#This Row],[Date]])</f>
        <v>2023</v>
      </c>
      <c r="G1133">
        <f t="shared" si="17"/>
        <v>2023</v>
      </c>
    </row>
    <row r="1134" spans="1:7" x14ac:dyDescent="0.25">
      <c r="A1134" s="8">
        <v>44964</v>
      </c>
      <c r="B1134" s="9" t="s">
        <v>1149</v>
      </c>
      <c r="C1134" s="9" t="s">
        <v>20</v>
      </c>
      <c r="D1134" s="9">
        <v>656</v>
      </c>
      <c r="E1134" s="9" t="s">
        <v>14</v>
      </c>
      <c r="F1134" s="12">
        <f>YEAR(Personal_Finance_Dataset[[#This Row],[Date]])</f>
        <v>2023</v>
      </c>
      <c r="G1134">
        <f t="shared" si="17"/>
        <v>2023</v>
      </c>
    </row>
    <row r="1135" spans="1:7" x14ac:dyDescent="0.25">
      <c r="A1135" s="8">
        <v>44965</v>
      </c>
      <c r="B1135" s="9" t="s">
        <v>1150</v>
      </c>
      <c r="C1135" s="9" t="s">
        <v>9</v>
      </c>
      <c r="D1135" s="9">
        <v>430.27</v>
      </c>
      <c r="E1135" s="9" t="s">
        <v>7</v>
      </c>
      <c r="F1135" s="12">
        <f>YEAR(Personal_Finance_Dataset[[#This Row],[Date]])</f>
        <v>2023</v>
      </c>
      <c r="G1135">
        <f t="shared" si="17"/>
        <v>2023</v>
      </c>
    </row>
    <row r="1136" spans="1:7" x14ac:dyDescent="0.25">
      <c r="A1136" s="8">
        <v>44966</v>
      </c>
      <c r="B1136" s="9" t="s">
        <v>1151</v>
      </c>
      <c r="C1136" s="9" t="s">
        <v>13</v>
      </c>
      <c r="D1136" s="9">
        <v>1508</v>
      </c>
      <c r="E1136" s="9" t="s">
        <v>14</v>
      </c>
      <c r="F1136" s="12">
        <f>YEAR(Personal_Finance_Dataset[[#This Row],[Date]])</f>
        <v>2023</v>
      </c>
      <c r="G1136">
        <f t="shared" si="17"/>
        <v>2023</v>
      </c>
    </row>
    <row r="1137" spans="1:7" x14ac:dyDescent="0.25">
      <c r="A1137" s="8">
        <v>44967</v>
      </c>
      <c r="B1137" s="9" t="s">
        <v>1152</v>
      </c>
      <c r="C1137" s="9" t="s">
        <v>6</v>
      </c>
      <c r="D1137" s="9">
        <v>756.63</v>
      </c>
      <c r="E1137" s="9" t="s">
        <v>7</v>
      </c>
      <c r="F1137" s="12">
        <f>YEAR(Personal_Finance_Dataset[[#This Row],[Date]])</f>
        <v>2023</v>
      </c>
      <c r="G1137">
        <f t="shared" si="17"/>
        <v>2023</v>
      </c>
    </row>
    <row r="1138" spans="1:7" x14ac:dyDescent="0.25">
      <c r="A1138" s="8">
        <v>44968</v>
      </c>
      <c r="B1138" s="9" t="s">
        <v>1153</v>
      </c>
      <c r="C1138" s="9" t="s">
        <v>6</v>
      </c>
      <c r="D1138" s="9">
        <v>1191.9100000000001</v>
      </c>
      <c r="E1138" s="9" t="s">
        <v>7</v>
      </c>
      <c r="F1138" s="12">
        <f>YEAR(Personal_Finance_Dataset[[#This Row],[Date]])</f>
        <v>2023</v>
      </c>
      <c r="G1138">
        <f t="shared" si="17"/>
        <v>2023</v>
      </c>
    </row>
    <row r="1139" spans="1:7" x14ac:dyDescent="0.25">
      <c r="A1139" s="8">
        <v>44969</v>
      </c>
      <c r="B1139" s="9" t="s">
        <v>1154</v>
      </c>
      <c r="C1139" s="9" t="s">
        <v>13</v>
      </c>
      <c r="D1139" s="9">
        <v>661</v>
      </c>
      <c r="E1139" s="9" t="s">
        <v>14</v>
      </c>
      <c r="F1139" s="12">
        <f>YEAR(Personal_Finance_Dataset[[#This Row],[Date]])</f>
        <v>2023</v>
      </c>
      <c r="G1139">
        <f t="shared" si="17"/>
        <v>2023</v>
      </c>
    </row>
    <row r="1140" spans="1:7" x14ac:dyDescent="0.25">
      <c r="A1140" s="8">
        <v>44970</v>
      </c>
      <c r="B1140" s="9" t="s">
        <v>1155</v>
      </c>
      <c r="C1140" s="9" t="s">
        <v>13</v>
      </c>
      <c r="D1140" s="9">
        <v>3914</v>
      </c>
      <c r="E1140" s="9" t="s">
        <v>14</v>
      </c>
      <c r="F1140" s="12">
        <f>YEAR(Personal_Finance_Dataset[[#This Row],[Date]])</f>
        <v>2023</v>
      </c>
      <c r="G1140">
        <f t="shared" si="17"/>
        <v>2023</v>
      </c>
    </row>
    <row r="1141" spans="1:7" x14ac:dyDescent="0.25">
      <c r="A1141" s="8">
        <v>44971</v>
      </c>
      <c r="B1141" s="9" t="s">
        <v>1156</v>
      </c>
      <c r="C1141" s="9" t="s">
        <v>11</v>
      </c>
      <c r="D1141" s="9">
        <v>1099.0899999999999</v>
      </c>
      <c r="E1141" s="9" t="s">
        <v>7</v>
      </c>
      <c r="F1141" s="12">
        <f>YEAR(Personal_Finance_Dataset[[#This Row],[Date]])</f>
        <v>2023</v>
      </c>
      <c r="G1141">
        <f t="shared" si="17"/>
        <v>2023</v>
      </c>
    </row>
    <row r="1142" spans="1:7" x14ac:dyDescent="0.25">
      <c r="A1142" s="8">
        <v>44972</v>
      </c>
      <c r="B1142" s="9" t="s">
        <v>1157</v>
      </c>
      <c r="C1142" s="9" t="s">
        <v>9</v>
      </c>
      <c r="D1142" s="9">
        <v>418.93</v>
      </c>
      <c r="E1142" s="9" t="s">
        <v>7</v>
      </c>
      <c r="F1142" s="12">
        <f>YEAR(Personal_Finance_Dataset[[#This Row],[Date]])</f>
        <v>2023</v>
      </c>
      <c r="G1142">
        <f t="shared" si="17"/>
        <v>2023</v>
      </c>
    </row>
    <row r="1143" spans="1:7" x14ac:dyDescent="0.25">
      <c r="A1143" s="8">
        <v>44973</v>
      </c>
      <c r="B1143" s="9" t="s">
        <v>1158</v>
      </c>
      <c r="C1143" s="9" t="s">
        <v>6</v>
      </c>
      <c r="D1143" s="9">
        <v>609.22</v>
      </c>
      <c r="E1143" s="9" t="s">
        <v>7</v>
      </c>
      <c r="F1143" s="12">
        <f>YEAR(Personal_Finance_Dataset[[#This Row],[Date]])</f>
        <v>2023</v>
      </c>
      <c r="G1143">
        <f t="shared" si="17"/>
        <v>2023</v>
      </c>
    </row>
    <row r="1144" spans="1:7" x14ac:dyDescent="0.25">
      <c r="A1144" s="8">
        <v>44974</v>
      </c>
      <c r="B1144" s="9" t="s">
        <v>1159</v>
      </c>
      <c r="C1144" s="9" t="s">
        <v>35</v>
      </c>
      <c r="D1144" s="9">
        <v>1249.3699999999999</v>
      </c>
      <c r="E1144" s="9" t="s">
        <v>7</v>
      </c>
      <c r="F1144" s="12">
        <f>YEAR(Personal_Finance_Dataset[[#This Row],[Date]])</f>
        <v>2023</v>
      </c>
      <c r="G1144">
        <f t="shared" si="17"/>
        <v>2023</v>
      </c>
    </row>
    <row r="1145" spans="1:7" x14ac:dyDescent="0.25">
      <c r="A1145" s="8">
        <v>44975</v>
      </c>
      <c r="B1145" s="9" t="s">
        <v>1160</v>
      </c>
      <c r="C1145" s="9" t="s">
        <v>17</v>
      </c>
      <c r="D1145" s="9">
        <v>1663</v>
      </c>
      <c r="E1145" s="9" t="s">
        <v>7</v>
      </c>
      <c r="F1145" s="12">
        <f>YEAR(Personal_Finance_Dataset[[#This Row],[Date]])</f>
        <v>2023</v>
      </c>
      <c r="G1145">
        <f t="shared" si="17"/>
        <v>2023</v>
      </c>
    </row>
    <row r="1146" spans="1:7" x14ac:dyDescent="0.25">
      <c r="A1146" s="8">
        <v>44976</v>
      </c>
      <c r="B1146" s="9" t="s">
        <v>1161</v>
      </c>
      <c r="C1146" s="9" t="s">
        <v>13</v>
      </c>
      <c r="D1146" s="9">
        <v>2815</v>
      </c>
      <c r="E1146" s="9" t="s">
        <v>14</v>
      </c>
      <c r="F1146" s="12">
        <f>YEAR(Personal_Finance_Dataset[[#This Row],[Date]])</f>
        <v>2023</v>
      </c>
      <c r="G1146">
        <f t="shared" si="17"/>
        <v>2023</v>
      </c>
    </row>
    <row r="1147" spans="1:7" x14ac:dyDescent="0.25">
      <c r="A1147" s="8">
        <v>44977</v>
      </c>
      <c r="B1147" s="9" t="s">
        <v>1162</v>
      </c>
      <c r="C1147" s="9" t="s">
        <v>13</v>
      </c>
      <c r="D1147" s="9">
        <v>4577</v>
      </c>
      <c r="E1147" s="9" t="s">
        <v>14</v>
      </c>
      <c r="F1147" s="12">
        <f>YEAR(Personal_Finance_Dataset[[#This Row],[Date]])</f>
        <v>2023</v>
      </c>
      <c r="G1147">
        <f t="shared" si="17"/>
        <v>2023</v>
      </c>
    </row>
    <row r="1148" spans="1:7" x14ac:dyDescent="0.25">
      <c r="A1148" s="8">
        <v>44978</v>
      </c>
      <c r="B1148" s="9" t="s">
        <v>1163</v>
      </c>
      <c r="C1148" s="9" t="s">
        <v>13</v>
      </c>
      <c r="D1148" s="9">
        <v>2654</v>
      </c>
      <c r="E1148" s="9" t="s">
        <v>14</v>
      </c>
      <c r="F1148" s="12">
        <f>YEAR(Personal_Finance_Dataset[[#This Row],[Date]])</f>
        <v>2023</v>
      </c>
      <c r="G1148">
        <f t="shared" si="17"/>
        <v>2023</v>
      </c>
    </row>
    <row r="1149" spans="1:7" x14ac:dyDescent="0.25">
      <c r="A1149" s="8">
        <v>44979</v>
      </c>
      <c r="B1149" s="9" t="s">
        <v>1164</v>
      </c>
      <c r="C1149" s="9" t="s">
        <v>22</v>
      </c>
      <c r="D1149" s="9">
        <v>722.26</v>
      </c>
      <c r="E1149" s="9" t="s">
        <v>7</v>
      </c>
      <c r="F1149" s="12">
        <f>YEAR(Personal_Finance_Dataset[[#This Row],[Date]])</f>
        <v>2023</v>
      </c>
      <c r="G1149">
        <f t="shared" si="17"/>
        <v>2023</v>
      </c>
    </row>
    <row r="1150" spans="1:7" x14ac:dyDescent="0.25">
      <c r="A1150" s="8">
        <v>44980</v>
      </c>
      <c r="B1150" s="9" t="s">
        <v>1165</v>
      </c>
      <c r="C1150" s="9" t="s">
        <v>9</v>
      </c>
      <c r="D1150" s="9">
        <v>88.42</v>
      </c>
      <c r="E1150" s="9" t="s">
        <v>7</v>
      </c>
      <c r="F1150" s="12">
        <f>YEAR(Personal_Finance_Dataset[[#This Row],[Date]])</f>
        <v>2023</v>
      </c>
      <c r="G1150">
        <f t="shared" si="17"/>
        <v>2023</v>
      </c>
    </row>
    <row r="1151" spans="1:7" x14ac:dyDescent="0.25">
      <c r="A1151" s="8">
        <v>44981</v>
      </c>
      <c r="B1151" s="9" t="s">
        <v>1166</v>
      </c>
      <c r="C1151" s="9" t="s">
        <v>22</v>
      </c>
      <c r="D1151" s="9">
        <v>1379.53</v>
      </c>
      <c r="E1151" s="9" t="s">
        <v>7</v>
      </c>
      <c r="F1151" s="12">
        <f>YEAR(Personal_Finance_Dataset[[#This Row],[Date]])</f>
        <v>2023</v>
      </c>
      <c r="G1151">
        <f t="shared" si="17"/>
        <v>2023</v>
      </c>
    </row>
    <row r="1152" spans="1:7" x14ac:dyDescent="0.25">
      <c r="A1152" s="8">
        <v>44982</v>
      </c>
      <c r="B1152" s="9" t="s">
        <v>1167</v>
      </c>
      <c r="C1152" s="9" t="s">
        <v>22</v>
      </c>
      <c r="D1152" s="9">
        <v>15.45</v>
      </c>
      <c r="E1152" s="9" t="s">
        <v>7</v>
      </c>
      <c r="F1152" s="12">
        <f>YEAR(Personal_Finance_Dataset[[#This Row],[Date]])</f>
        <v>2023</v>
      </c>
      <c r="G1152">
        <f t="shared" si="17"/>
        <v>2023</v>
      </c>
    </row>
    <row r="1153" spans="1:7" x14ac:dyDescent="0.25">
      <c r="A1153" s="8">
        <v>44983</v>
      </c>
      <c r="B1153" s="9" t="s">
        <v>1168</v>
      </c>
      <c r="C1153" s="9" t="s">
        <v>11</v>
      </c>
      <c r="D1153" s="9">
        <v>1672.11</v>
      </c>
      <c r="E1153" s="9" t="s">
        <v>7</v>
      </c>
      <c r="F1153" s="12">
        <f>YEAR(Personal_Finance_Dataset[[#This Row],[Date]])</f>
        <v>2023</v>
      </c>
      <c r="G1153">
        <f t="shared" si="17"/>
        <v>2023</v>
      </c>
    </row>
    <row r="1154" spans="1:7" x14ac:dyDescent="0.25">
      <c r="A1154" s="8">
        <v>44984</v>
      </c>
      <c r="B1154" s="9" t="s">
        <v>1169</v>
      </c>
      <c r="C1154" s="9" t="s">
        <v>9</v>
      </c>
      <c r="D1154" s="9">
        <v>1899.4</v>
      </c>
      <c r="E1154" s="9" t="s">
        <v>7</v>
      </c>
      <c r="F1154" s="12">
        <f>YEAR(Personal_Finance_Dataset[[#This Row],[Date]])</f>
        <v>2023</v>
      </c>
      <c r="G1154">
        <f t="shared" ref="G1154:G1217" si="18">YEAR(A1154)</f>
        <v>2023</v>
      </c>
    </row>
    <row r="1155" spans="1:7" x14ac:dyDescent="0.25">
      <c r="A1155" s="8">
        <v>44985</v>
      </c>
      <c r="B1155" s="9" t="s">
        <v>1170</v>
      </c>
      <c r="C1155" s="9" t="s">
        <v>11</v>
      </c>
      <c r="D1155" s="9">
        <v>1449.89</v>
      </c>
      <c r="E1155" s="9" t="s">
        <v>7</v>
      </c>
      <c r="F1155" s="12">
        <f>YEAR(Personal_Finance_Dataset[[#This Row],[Date]])</f>
        <v>2023</v>
      </c>
      <c r="G1155">
        <f t="shared" si="18"/>
        <v>2023</v>
      </c>
    </row>
    <row r="1156" spans="1:7" x14ac:dyDescent="0.25">
      <c r="A1156" s="8">
        <v>44986</v>
      </c>
      <c r="B1156" s="9" t="s">
        <v>1171</v>
      </c>
      <c r="C1156" s="9" t="s">
        <v>20</v>
      </c>
      <c r="D1156" s="9">
        <v>2393</v>
      </c>
      <c r="E1156" s="9" t="s">
        <v>14</v>
      </c>
      <c r="F1156" s="12">
        <f>YEAR(Personal_Finance_Dataset[[#This Row],[Date]])</f>
        <v>2023</v>
      </c>
      <c r="G1156">
        <f t="shared" si="18"/>
        <v>2023</v>
      </c>
    </row>
    <row r="1157" spans="1:7" x14ac:dyDescent="0.25">
      <c r="A1157" s="8">
        <v>44987</v>
      </c>
      <c r="B1157" s="9" t="s">
        <v>1172</v>
      </c>
      <c r="C1157" s="9" t="s">
        <v>35</v>
      </c>
      <c r="D1157" s="9">
        <v>535.61</v>
      </c>
      <c r="E1157" s="9" t="s">
        <v>7</v>
      </c>
      <c r="F1157" s="12">
        <f>YEAR(Personal_Finance_Dataset[[#This Row],[Date]])</f>
        <v>2023</v>
      </c>
      <c r="G1157">
        <f t="shared" si="18"/>
        <v>2023</v>
      </c>
    </row>
    <row r="1158" spans="1:7" x14ac:dyDescent="0.25">
      <c r="A1158" s="8">
        <v>44988</v>
      </c>
      <c r="B1158" s="9" t="s">
        <v>1173</v>
      </c>
      <c r="C1158" s="9" t="s">
        <v>13</v>
      </c>
      <c r="D1158" s="9">
        <v>823</v>
      </c>
      <c r="E1158" s="9" t="s">
        <v>14</v>
      </c>
      <c r="F1158" s="12">
        <f>YEAR(Personal_Finance_Dataset[[#This Row],[Date]])</f>
        <v>2023</v>
      </c>
      <c r="G1158">
        <f t="shared" si="18"/>
        <v>2023</v>
      </c>
    </row>
    <row r="1159" spans="1:7" x14ac:dyDescent="0.25">
      <c r="A1159" s="8">
        <v>44989</v>
      </c>
      <c r="B1159" s="9" t="s">
        <v>1174</v>
      </c>
      <c r="C1159" s="9" t="s">
        <v>25</v>
      </c>
      <c r="D1159" s="9">
        <v>1605.18</v>
      </c>
      <c r="E1159" s="9" t="s">
        <v>7</v>
      </c>
      <c r="F1159" s="12">
        <f>YEAR(Personal_Finance_Dataset[[#This Row],[Date]])</f>
        <v>2023</v>
      </c>
      <c r="G1159">
        <f t="shared" si="18"/>
        <v>2023</v>
      </c>
    </row>
    <row r="1160" spans="1:7" x14ac:dyDescent="0.25">
      <c r="A1160" s="8">
        <v>44990</v>
      </c>
      <c r="B1160" s="9" t="s">
        <v>1175</v>
      </c>
      <c r="C1160" s="9" t="s">
        <v>11</v>
      </c>
      <c r="D1160" s="9">
        <v>199.05</v>
      </c>
      <c r="E1160" s="9" t="s">
        <v>7</v>
      </c>
      <c r="F1160" s="12">
        <f>YEAR(Personal_Finance_Dataset[[#This Row],[Date]])</f>
        <v>2023</v>
      </c>
      <c r="G1160">
        <f t="shared" si="18"/>
        <v>2023</v>
      </c>
    </row>
    <row r="1161" spans="1:7" x14ac:dyDescent="0.25">
      <c r="A1161" s="8">
        <v>44991</v>
      </c>
      <c r="B1161" s="9" t="s">
        <v>1176</v>
      </c>
      <c r="C1161" s="9" t="s">
        <v>6</v>
      </c>
      <c r="D1161" s="9">
        <v>29.25</v>
      </c>
      <c r="E1161" s="9" t="s">
        <v>7</v>
      </c>
      <c r="F1161" s="12">
        <f>YEAR(Personal_Finance_Dataset[[#This Row],[Date]])</f>
        <v>2023</v>
      </c>
      <c r="G1161">
        <f t="shared" si="18"/>
        <v>2023</v>
      </c>
    </row>
    <row r="1162" spans="1:7" x14ac:dyDescent="0.25">
      <c r="A1162" s="8">
        <v>44992</v>
      </c>
      <c r="B1162" s="9" t="s">
        <v>1177</v>
      </c>
      <c r="C1162" s="9" t="s">
        <v>13</v>
      </c>
      <c r="D1162" s="9">
        <v>3192</v>
      </c>
      <c r="E1162" s="9" t="s">
        <v>14</v>
      </c>
      <c r="F1162" s="12">
        <f>YEAR(Personal_Finance_Dataset[[#This Row],[Date]])</f>
        <v>2023</v>
      </c>
      <c r="G1162">
        <f t="shared" si="18"/>
        <v>2023</v>
      </c>
    </row>
    <row r="1163" spans="1:7" x14ac:dyDescent="0.25">
      <c r="A1163" s="8">
        <v>44993</v>
      </c>
      <c r="B1163" s="9" t="s">
        <v>1178</v>
      </c>
      <c r="C1163" s="9" t="s">
        <v>27</v>
      </c>
      <c r="D1163" s="9">
        <v>1910.63</v>
      </c>
      <c r="E1163" s="9" t="s">
        <v>7</v>
      </c>
      <c r="F1163" s="12">
        <f>YEAR(Personal_Finance_Dataset[[#This Row],[Date]])</f>
        <v>2023</v>
      </c>
      <c r="G1163">
        <f t="shared" si="18"/>
        <v>2023</v>
      </c>
    </row>
    <row r="1164" spans="1:7" x14ac:dyDescent="0.25">
      <c r="A1164" s="8">
        <v>44994</v>
      </c>
      <c r="B1164" s="9" t="s">
        <v>1179</v>
      </c>
      <c r="C1164" s="9" t="s">
        <v>11</v>
      </c>
      <c r="D1164" s="9">
        <v>751.52</v>
      </c>
      <c r="E1164" s="9" t="s">
        <v>7</v>
      </c>
      <c r="F1164" s="12">
        <f>YEAR(Personal_Finance_Dataset[[#This Row],[Date]])</f>
        <v>2023</v>
      </c>
      <c r="G1164">
        <f t="shared" si="18"/>
        <v>2023</v>
      </c>
    </row>
    <row r="1165" spans="1:7" x14ac:dyDescent="0.25">
      <c r="A1165" s="8">
        <v>44995</v>
      </c>
      <c r="B1165" s="9" t="s">
        <v>1180</v>
      </c>
      <c r="C1165" s="9" t="s">
        <v>11</v>
      </c>
      <c r="D1165" s="9">
        <v>807.55</v>
      </c>
      <c r="E1165" s="9" t="s">
        <v>7</v>
      </c>
      <c r="F1165" s="12">
        <f>YEAR(Personal_Finance_Dataset[[#This Row],[Date]])</f>
        <v>2023</v>
      </c>
      <c r="G1165">
        <f t="shared" si="18"/>
        <v>2023</v>
      </c>
    </row>
    <row r="1166" spans="1:7" x14ac:dyDescent="0.25">
      <c r="A1166" s="8">
        <v>44996</v>
      </c>
      <c r="B1166" s="9" t="s">
        <v>1181</v>
      </c>
      <c r="C1166" s="9" t="s">
        <v>35</v>
      </c>
      <c r="D1166" s="9">
        <v>1673.06</v>
      </c>
      <c r="E1166" s="9" t="s">
        <v>7</v>
      </c>
      <c r="F1166" s="12">
        <f>YEAR(Personal_Finance_Dataset[[#This Row],[Date]])</f>
        <v>2023</v>
      </c>
      <c r="G1166">
        <f t="shared" si="18"/>
        <v>2023</v>
      </c>
    </row>
    <row r="1167" spans="1:7" x14ac:dyDescent="0.25">
      <c r="A1167" s="8">
        <v>44997</v>
      </c>
      <c r="B1167" s="9" t="s">
        <v>1182</v>
      </c>
      <c r="C1167" s="9" t="s">
        <v>27</v>
      </c>
      <c r="D1167" s="9">
        <v>1601.8</v>
      </c>
      <c r="E1167" s="9" t="s">
        <v>7</v>
      </c>
      <c r="F1167" s="12">
        <f>YEAR(Personal_Finance_Dataset[[#This Row],[Date]])</f>
        <v>2023</v>
      </c>
      <c r="G1167">
        <f t="shared" si="18"/>
        <v>2023</v>
      </c>
    </row>
    <row r="1168" spans="1:7" x14ac:dyDescent="0.25">
      <c r="A1168" s="8">
        <v>44998</v>
      </c>
      <c r="B1168" s="9" t="s">
        <v>1183</v>
      </c>
      <c r="C1168" s="9" t="s">
        <v>9</v>
      </c>
      <c r="D1168" s="9">
        <v>234.98</v>
      </c>
      <c r="E1168" s="9" t="s">
        <v>7</v>
      </c>
      <c r="F1168" s="12">
        <f>YEAR(Personal_Finance_Dataset[[#This Row],[Date]])</f>
        <v>2023</v>
      </c>
      <c r="G1168">
        <f t="shared" si="18"/>
        <v>2023</v>
      </c>
    </row>
    <row r="1169" spans="1:7" x14ac:dyDescent="0.25">
      <c r="A1169" s="8">
        <v>44999</v>
      </c>
      <c r="B1169" s="9" t="s">
        <v>1184</v>
      </c>
      <c r="C1169" s="9" t="s">
        <v>6</v>
      </c>
      <c r="D1169" s="9">
        <v>1963.32</v>
      </c>
      <c r="E1169" s="9" t="s">
        <v>7</v>
      </c>
      <c r="F1169" s="12">
        <f>YEAR(Personal_Finance_Dataset[[#This Row],[Date]])</f>
        <v>2023</v>
      </c>
      <c r="G1169">
        <f t="shared" si="18"/>
        <v>2023</v>
      </c>
    </row>
    <row r="1170" spans="1:7" x14ac:dyDescent="0.25">
      <c r="A1170" s="8">
        <v>45000</v>
      </c>
      <c r="B1170" s="9" t="s">
        <v>1185</v>
      </c>
      <c r="C1170" s="9" t="s">
        <v>11</v>
      </c>
      <c r="D1170" s="9">
        <v>837.9</v>
      </c>
      <c r="E1170" s="9" t="s">
        <v>7</v>
      </c>
      <c r="F1170" s="12">
        <f>YEAR(Personal_Finance_Dataset[[#This Row],[Date]])</f>
        <v>2023</v>
      </c>
      <c r="G1170">
        <f t="shared" si="18"/>
        <v>2023</v>
      </c>
    </row>
    <row r="1171" spans="1:7" x14ac:dyDescent="0.25">
      <c r="A1171" s="8">
        <v>45001</v>
      </c>
      <c r="B1171" s="9" t="s">
        <v>1186</v>
      </c>
      <c r="C1171" s="9" t="s">
        <v>27</v>
      </c>
      <c r="D1171" s="9">
        <v>370.71</v>
      </c>
      <c r="E1171" s="9" t="s">
        <v>7</v>
      </c>
      <c r="F1171" s="12">
        <f>YEAR(Personal_Finance_Dataset[[#This Row],[Date]])</f>
        <v>2023</v>
      </c>
      <c r="G1171">
        <f t="shared" si="18"/>
        <v>2023</v>
      </c>
    </row>
    <row r="1172" spans="1:7" x14ac:dyDescent="0.25">
      <c r="A1172" s="8">
        <v>45002</v>
      </c>
      <c r="B1172" s="9" t="s">
        <v>1187</v>
      </c>
      <c r="C1172" s="9" t="s">
        <v>25</v>
      </c>
      <c r="D1172" s="9">
        <v>1226.5999999999999</v>
      </c>
      <c r="E1172" s="9" t="s">
        <v>7</v>
      </c>
      <c r="F1172" s="12">
        <f>YEAR(Personal_Finance_Dataset[[#This Row],[Date]])</f>
        <v>2023</v>
      </c>
      <c r="G1172">
        <f t="shared" si="18"/>
        <v>2023</v>
      </c>
    </row>
    <row r="1173" spans="1:7" x14ac:dyDescent="0.25">
      <c r="A1173" s="8">
        <v>45003</v>
      </c>
      <c r="B1173" s="9" t="s">
        <v>1188</v>
      </c>
      <c r="C1173" s="9" t="s">
        <v>9</v>
      </c>
      <c r="D1173" s="9">
        <v>971.33</v>
      </c>
      <c r="E1173" s="9" t="s">
        <v>7</v>
      </c>
      <c r="F1173" s="12">
        <f>YEAR(Personal_Finance_Dataset[[#This Row],[Date]])</f>
        <v>2023</v>
      </c>
      <c r="G1173">
        <f t="shared" si="18"/>
        <v>2023</v>
      </c>
    </row>
    <row r="1174" spans="1:7" x14ac:dyDescent="0.25">
      <c r="A1174" s="8">
        <v>45004</v>
      </c>
      <c r="B1174" s="9" t="s">
        <v>1189</v>
      </c>
      <c r="C1174" s="9" t="s">
        <v>17</v>
      </c>
      <c r="D1174" s="9">
        <v>886.97</v>
      </c>
      <c r="E1174" s="9" t="s">
        <v>7</v>
      </c>
      <c r="F1174" s="12">
        <f>YEAR(Personal_Finance_Dataset[[#This Row],[Date]])</f>
        <v>2023</v>
      </c>
      <c r="G1174">
        <f t="shared" si="18"/>
        <v>2023</v>
      </c>
    </row>
    <row r="1175" spans="1:7" x14ac:dyDescent="0.25">
      <c r="A1175" s="8">
        <v>45005</v>
      </c>
      <c r="B1175" s="9" t="s">
        <v>1190</v>
      </c>
      <c r="C1175" s="9" t="s">
        <v>20</v>
      </c>
      <c r="D1175" s="9">
        <v>601</v>
      </c>
      <c r="E1175" s="9" t="s">
        <v>14</v>
      </c>
      <c r="F1175" s="12">
        <f>YEAR(Personal_Finance_Dataset[[#This Row],[Date]])</f>
        <v>2023</v>
      </c>
      <c r="G1175">
        <f t="shared" si="18"/>
        <v>2023</v>
      </c>
    </row>
    <row r="1176" spans="1:7" x14ac:dyDescent="0.25">
      <c r="A1176" s="8">
        <v>45006</v>
      </c>
      <c r="B1176" s="9" t="s">
        <v>1191</v>
      </c>
      <c r="C1176" s="9" t="s">
        <v>22</v>
      </c>
      <c r="D1176" s="9">
        <v>1956.01</v>
      </c>
      <c r="E1176" s="9" t="s">
        <v>7</v>
      </c>
      <c r="F1176" s="12">
        <f>YEAR(Personal_Finance_Dataset[[#This Row],[Date]])</f>
        <v>2023</v>
      </c>
      <c r="G1176">
        <f t="shared" si="18"/>
        <v>2023</v>
      </c>
    </row>
    <row r="1177" spans="1:7" x14ac:dyDescent="0.25">
      <c r="A1177" s="8">
        <v>45007</v>
      </c>
      <c r="B1177" s="9" t="s">
        <v>1192</v>
      </c>
      <c r="C1177" s="9" t="s">
        <v>25</v>
      </c>
      <c r="D1177" s="9">
        <v>1043.01</v>
      </c>
      <c r="E1177" s="9" t="s">
        <v>7</v>
      </c>
      <c r="F1177" s="12">
        <f>YEAR(Personal_Finance_Dataset[[#This Row],[Date]])</f>
        <v>2023</v>
      </c>
      <c r="G1177">
        <f t="shared" si="18"/>
        <v>2023</v>
      </c>
    </row>
    <row r="1178" spans="1:7" x14ac:dyDescent="0.25">
      <c r="A1178" s="8">
        <v>45008</v>
      </c>
      <c r="B1178" s="9" t="s">
        <v>1193</v>
      </c>
      <c r="C1178" s="9" t="s">
        <v>11</v>
      </c>
      <c r="D1178" s="9">
        <v>871.37</v>
      </c>
      <c r="E1178" s="9" t="s">
        <v>7</v>
      </c>
      <c r="F1178" s="12">
        <f>YEAR(Personal_Finance_Dataset[[#This Row],[Date]])</f>
        <v>2023</v>
      </c>
      <c r="G1178">
        <f t="shared" si="18"/>
        <v>2023</v>
      </c>
    </row>
    <row r="1179" spans="1:7" x14ac:dyDescent="0.25">
      <c r="A1179" s="8">
        <v>45009</v>
      </c>
      <c r="B1179" s="9" t="s">
        <v>1194</v>
      </c>
      <c r="C1179" s="9" t="s">
        <v>27</v>
      </c>
      <c r="D1179" s="9">
        <v>698.04</v>
      </c>
      <c r="E1179" s="9" t="s">
        <v>7</v>
      </c>
      <c r="F1179" s="12">
        <f>YEAR(Personal_Finance_Dataset[[#This Row],[Date]])</f>
        <v>2023</v>
      </c>
      <c r="G1179">
        <f t="shared" si="18"/>
        <v>2023</v>
      </c>
    </row>
    <row r="1180" spans="1:7" x14ac:dyDescent="0.25">
      <c r="A1180" s="8">
        <v>45010</v>
      </c>
      <c r="B1180" s="9" t="s">
        <v>1195</v>
      </c>
      <c r="C1180" s="9" t="s">
        <v>17</v>
      </c>
      <c r="D1180" s="9">
        <v>305.82</v>
      </c>
      <c r="E1180" s="9" t="s">
        <v>7</v>
      </c>
      <c r="F1180" s="12">
        <f>YEAR(Personal_Finance_Dataset[[#This Row],[Date]])</f>
        <v>2023</v>
      </c>
      <c r="G1180">
        <f t="shared" si="18"/>
        <v>2023</v>
      </c>
    </row>
    <row r="1181" spans="1:7" x14ac:dyDescent="0.25">
      <c r="A1181" s="8">
        <v>45011</v>
      </c>
      <c r="B1181" s="9" t="s">
        <v>1196</v>
      </c>
      <c r="C1181" s="9" t="s">
        <v>6</v>
      </c>
      <c r="D1181" s="9">
        <v>33.17</v>
      </c>
      <c r="E1181" s="9" t="s">
        <v>7</v>
      </c>
      <c r="F1181" s="12">
        <f>YEAR(Personal_Finance_Dataset[[#This Row],[Date]])</f>
        <v>2023</v>
      </c>
      <c r="G1181">
        <f t="shared" si="18"/>
        <v>2023</v>
      </c>
    </row>
    <row r="1182" spans="1:7" x14ac:dyDescent="0.25">
      <c r="A1182" s="8">
        <v>45012</v>
      </c>
      <c r="B1182" s="9" t="s">
        <v>1197</v>
      </c>
      <c r="C1182" s="9" t="s">
        <v>27</v>
      </c>
      <c r="D1182" s="9">
        <v>1705.22</v>
      </c>
      <c r="E1182" s="9" t="s">
        <v>7</v>
      </c>
      <c r="F1182" s="12">
        <f>YEAR(Personal_Finance_Dataset[[#This Row],[Date]])</f>
        <v>2023</v>
      </c>
      <c r="G1182">
        <f t="shared" si="18"/>
        <v>2023</v>
      </c>
    </row>
    <row r="1183" spans="1:7" x14ac:dyDescent="0.25">
      <c r="A1183" s="8">
        <v>45013</v>
      </c>
      <c r="B1183" s="9" t="s">
        <v>1198</v>
      </c>
      <c r="C1183" s="9" t="s">
        <v>11</v>
      </c>
      <c r="D1183" s="9">
        <v>1505.35</v>
      </c>
      <c r="E1183" s="9" t="s">
        <v>7</v>
      </c>
      <c r="F1183" s="12">
        <f>YEAR(Personal_Finance_Dataset[[#This Row],[Date]])</f>
        <v>2023</v>
      </c>
      <c r="G1183">
        <f t="shared" si="18"/>
        <v>2023</v>
      </c>
    </row>
    <row r="1184" spans="1:7" x14ac:dyDescent="0.25">
      <c r="A1184" s="8">
        <v>45014</v>
      </c>
      <c r="B1184" s="9" t="s">
        <v>1199</v>
      </c>
      <c r="C1184" s="9" t="s">
        <v>25</v>
      </c>
      <c r="D1184" s="9">
        <v>1940.59</v>
      </c>
      <c r="E1184" s="9" t="s">
        <v>7</v>
      </c>
      <c r="F1184" s="12">
        <f>YEAR(Personal_Finance_Dataset[[#This Row],[Date]])</f>
        <v>2023</v>
      </c>
      <c r="G1184">
        <f t="shared" si="18"/>
        <v>2023</v>
      </c>
    </row>
    <row r="1185" spans="1:7" x14ac:dyDescent="0.25">
      <c r="A1185" s="8">
        <v>45015</v>
      </c>
      <c r="B1185" s="9" t="s">
        <v>1200</v>
      </c>
      <c r="C1185" s="9" t="s">
        <v>13</v>
      </c>
      <c r="D1185" s="9">
        <v>3601</v>
      </c>
      <c r="E1185" s="9" t="s">
        <v>14</v>
      </c>
      <c r="F1185" s="12">
        <f>YEAR(Personal_Finance_Dataset[[#This Row],[Date]])</f>
        <v>2023</v>
      </c>
      <c r="G1185">
        <f t="shared" si="18"/>
        <v>2023</v>
      </c>
    </row>
    <row r="1186" spans="1:7" x14ac:dyDescent="0.25">
      <c r="A1186" s="8">
        <v>45016</v>
      </c>
      <c r="B1186" s="9" t="s">
        <v>1201</v>
      </c>
      <c r="C1186" s="9" t="s">
        <v>22</v>
      </c>
      <c r="D1186" s="9">
        <v>166.87</v>
      </c>
      <c r="E1186" s="9" t="s">
        <v>7</v>
      </c>
      <c r="F1186" s="12">
        <f>YEAR(Personal_Finance_Dataset[[#This Row],[Date]])</f>
        <v>2023</v>
      </c>
      <c r="G1186">
        <f t="shared" si="18"/>
        <v>2023</v>
      </c>
    </row>
    <row r="1187" spans="1:7" x14ac:dyDescent="0.25">
      <c r="A1187" s="8">
        <v>45017</v>
      </c>
      <c r="B1187" s="9" t="s">
        <v>1202</v>
      </c>
      <c r="C1187" s="9" t="s">
        <v>27</v>
      </c>
      <c r="D1187" s="9">
        <v>185.16</v>
      </c>
      <c r="E1187" s="9" t="s">
        <v>7</v>
      </c>
      <c r="F1187" s="12">
        <f>YEAR(Personal_Finance_Dataset[[#This Row],[Date]])</f>
        <v>2023</v>
      </c>
      <c r="G1187">
        <f t="shared" si="18"/>
        <v>2023</v>
      </c>
    </row>
    <row r="1188" spans="1:7" x14ac:dyDescent="0.25">
      <c r="A1188" s="8">
        <v>45018</v>
      </c>
      <c r="B1188" s="9" t="s">
        <v>1203</v>
      </c>
      <c r="C1188" s="9" t="s">
        <v>25</v>
      </c>
      <c r="D1188" s="9">
        <v>246.23</v>
      </c>
      <c r="E1188" s="9" t="s">
        <v>7</v>
      </c>
      <c r="F1188" s="12">
        <f>YEAR(Personal_Finance_Dataset[[#This Row],[Date]])</f>
        <v>2023</v>
      </c>
      <c r="G1188">
        <f t="shared" si="18"/>
        <v>2023</v>
      </c>
    </row>
    <row r="1189" spans="1:7" x14ac:dyDescent="0.25">
      <c r="A1189" s="8">
        <v>45019</v>
      </c>
      <c r="B1189" s="9" t="s">
        <v>1204</v>
      </c>
      <c r="C1189" s="9" t="s">
        <v>6</v>
      </c>
      <c r="D1189" s="9">
        <v>214.26</v>
      </c>
      <c r="E1189" s="9" t="s">
        <v>7</v>
      </c>
      <c r="F1189" s="12">
        <f>YEAR(Personal_Finance_Dataset[[#This Row],[Date]])</f>
        <v>2023</v>
      </c>
      <c r="G1189">
        <f t="shared" si="18"/>
        <v>2023</v>
      </c>
    </row>
    <row r="1190" spans="1:7" x14ac:dyDescent="0.25">
      <c r="A1190" s="8">
        <v>45020</v>
      </c>
      <c r="B1190" s="9" t="s">
        <v>1205</v>
      </c>
      <c r="C1190" s="9" t="s">
        <v>6</v>
      </c>
      <c r="D1190" s="9">
        <v>1653.56</v>
      </c>
      <c r="E1190" s="9" t="s">
        <v>7</v>
      </c>
      <c r="F1190" s="12">
        <f>YEAR(Personal_Finance_Dataset[[#This Row],[Date]])</f>
        <v>2023</v>
      </c>
      <c r="G1190">
        <f t="shared" si="18"/>
        <v>2023</v>
      </c>
    </row>
    <row r="1191" spans="1:7" x14ac:dyDescent="0.25">
      <c r="A1191" s="8">
        <v>45021</v>
      </c>
      <c r="B1191" s="9" t="s">
        <v>1206</v>
      </c>
      <c r="C1191" s="9" t="s">
        <v>35</v>
      </c>
      <c r="D1191" s="9">
        <v>1781.32</v>
      </c>
      <c r="E1191" s="9" t="s">
        <v>7</v>
      </c>
      <c r="F1191" s="12">
        <f>YEAR(Personal_Finance_Dataset[[#This Row],[Date]])</f>
        <v>2023</v>
      </c>
      <c r="G1191">
        <f t="shared" si="18"/>
        <v>2023</v>
      </c>
    </row>
    <row r="1192" spans="1:7" x14ac:dyDescent="0.25">
      <c r="A1192" s="8">
        <v>45022</v>
      </c>
      <c r="B1192" s="9" t="s">
        <v>1207</v>
      </c>
      <c r="C1192" s="9" t="s">
        <v>27</v>
      </c>
      <c r="D1192" s="9">
        <v>1901.21</v>
      </c>
      <c r="E1192" s="9" t="s">
        <v>7</v>
      </c>
      <c r="F1192" s="12">
        <f>YEAR(Personal_Finance_Dataset[[#This Row],[Date]])</f>
        <v>2023</v>
      </c>
      <c r="G1192">
        <f t="shared" si="18"/>
        <v>2023</v>
      </c>
    </row>
    <row r="1193" spans="1:7" x14ac:dyDescent="0.25">
      <c r="A1193" s="8">
        <v>45023</v>
      </c>
      <c r="B1193" s="9" t="s">
        <v>1208</v>
      </c>
      <c r="C1193" s="9" t="s">
        <v>6</v>
      </c>
      <c r="D1193" s="9">
        <v>1635.01</v>
      </c>
      <c r="E1193" s="9" t="s">
        <v>7</v>
      </c>
      <c r="F1193" s="12">
        <f>YEAR(Personal_Finance_Dataset[[#This Row],[Date]])</f>
        <v>2023</v>
      </c>
      <c r="G1193">
        <f t="shared" si="18"/>
        <v>2023</v>
      </c>
    </row>
    <row r="1194" spans="1:7" x14ac:dyDescent="0.25">
      <c r="A1194" s="8">
        <v>45024</v>
      </c>
      <c r="B1194" s="9" t="s">
        <v>1209</v>
      </c>
      <c r="C1194" s="9" t="s">
        <v>25</v>
      </c>
      <c r="D1194" s="9">
        <v>1124.7</v>
      </c>
      <c r="E1194" s="9" t="s">
        <v>7</v>
      </c>
      <c r="F1194" s="12">
        <f>YEAR(Personal_Finance_Dataset[[#This Row],[Date]])</f>
        <v>2023</v>
      </c>
      <c r="G1194">
        <f t="shared" si="18"/>
        <v>2023</v>
      </c>
    </row>
    <row r="1195" spans="1:7" x14ac:dyDescent="0.25">
      <c r="A1195" s="8">
        <v>45025</v>
      </c>
      <c r="B1195" s="9" t="s">
        <v>1210</v>
      </c>
      <c r="C1195" s="9" t="s">
        <v>27</v>
      </c>
      <c r="D1195" s="9">
        <v>1436.15</v>
      </c>
      <c r="E1195" s="9" t="s">
        <v>7</v>
      </c>
      <c r="F1195" s="12">
        <f>YEAR(Personal_Finance_Dataset[[#This Row],[Date]])</f>
        <v>2023</v>
      </c>
      <c r="G1195">
        <f t="shared" si="18"/>
        <v>2023</v>
      </c>
    </row>
    <row r="1196" spans="1:7" x14ac:dyDescent="0.25">
      <c r="A1196" s="8">
        <v>45026</v>
      </c>
      <c r="B1196" s="9" t="s">
        <v>1211</v>
      </c>
      <c r="C1196" s="9" t="s">
        <v>27</v>
      </c>
      <c r="D1196" s="9">
        <v>236.91</v>
      </c>
      <c r="E1196" s="9" t="s">
        <v>7</v>
      </c>
      <c r="F1196" s="12">
        <f>YEAR(Personal_Finance_Dataset[[#This Row],[Date]])</f>
        <v>2023</v>
      </c>
      <c r="G1196">
        <f t="shared" si="18"/>
        <v>2023</v>
      </c>
    </row>
    <row r="1197" spans="1:7" x14ac:dyDescent="0.25">
      <c r="A1197" s="8">
        <v>45027</v>
      </c>
      <c r="B1197" s="9" t="s">
        <v>1212</v>
      </c>
      <c r="C1197" s="9" t="s">
        <v>22</v>
      </c>
      <c r="D1197" s="9">
        <v>14.37</v>
      </c>
      <c r="E1197" s="9" t="s">
        <v>7</v>
      </c>
      <c r="F1197" s="12">
        <f>YEAR(Personal_Finance_Dataset[[#This Row],[Date]])</f>
        <v>2023</v>
      </c>
      <c r="G1197">
        <f t="shared" si="18"/>
        <v>2023</v>
      </c>
    </row>
    <row r="1198" spans="1:7" x14ac:dyDescent="0.25">
      <c r="A1198" s="8">
        <v>45028</v>
      </c>
      <c r="B1198" s="9" t="s">
        <v>1213</v>
      </c>
      <c r="C1198" s="9" t="s">
        <v>35</v>
      </c>
      <c r="D1198" s="9">
        <v>1099.9000000000001</v>
      </c>
      <c r="E1198" s="9" t="s">
        <v>7</v>
      </c>
      <c r="F1198" s="12">
        <f>YEAR(Personal_Finance_Dataset[[#This Row],[Date]])</f>
        <v>2023</v>
      </c>
      <c r="G1198">
        <f t="shared" si="18"/>
        <v>2023</v>
      </c>
    </row>
    <row r="1199" spans="1:7" x14ac:dyDescent="0.25">
      <c r="A1199" s="8">
        <v>45029</v>
      </c>
      <c r="B1199" s="9" t="s">
        <v>1214</v>
      </c>
      <c r="C1199" s="9" t="s">
        <v>11</v>
      </c>
      <c r="D1199" s="9">
        <v>101.1</v>
      </c>
      <c r="E1199" s="9" t="s">
        <v>7</v>
      </c>
      <c r="F1199" s="12">
        <f>YEAR(Personal_Finance_Dataset[[#This Row],[Date]])</f>
        <v>2023</v>
      </c>
      <c r="G1199">
        <f t="shared" si="18"/>
        <v>2023</v>
      </c>
    </row>
    <row r="1200" spans="1:7" x14ac:dyDescent="0.25">
      <c r="A1200" s="8">
        <v>45030</v>
      </c>
      <c r="B1200" s="9" t="s">
        <v>1215</v>
      </c>
      <c r="C1200" s="9" t="s">
        <v>13</v>
      </c>
      <c r="D1200" s="9">
        <v>3852</v>
      </c>
      <c r="E1200" s="9" t="s">
        <v>14</v>
      </c>
      <c r="F1200" s="12">
        <f>YEAR(Personal_Finance_Dataset[[#This Row],[Date]])</f>
        <v>2023</v>
      </c>
      <c r="G1200">
        <f t="shared" si="18"/>
        <v>2023</v>
      </c>
    </row>
    <row r="1201" spans="1:7" x14ac:dyDescent="0.25">
      <c r="A1201" s="8">
        <v>45031</v>
      </c>
      <c r="B1201" s="9" t="s">
        <v>1216</v>
      </c>
      <c r="C1201" s="9" t="s">
        <v>13</v>
      </c>
      <c r="D1201" s="9">
        <v>2036</v>
      </c>
      <c r="E1201" s="9" t="s">
        <v>14</v>
      </c>
      <c r="F1201" s="12">
        <f>YEAR(Personal_Finance_Dataset[[#This Row],[Date]])</f>
        <v>2023</v>
      </c>
      <c r="G1201">
        <f t="shared" si="18"/>
        <v>2023</v>
      </c>
    </row>
    <row r="1202" spans="1:7" x14ac:dyDescent="0.25">
      <c r="A1202" s="8">
        <v>45032</v>
      </c>
      <c r="B1202" s="9" t="s">
        <v>1217</v>
      </c>
      <c r="C1202" s="9" t="s">
        <v>20</v>
      </c>
      <c r="D1202" s="9">
        <v>2266</v>
      </c>
      <c r="E1202" s="9" t="s">
        <v>14</v>
      </c>
      <c r="F1202" s="12">
        <f>YEAR(Personal_Finance_Dataset[[#This Row],[Date]])</f>
        <v>2023</v>
      </c>
      <c r="G1202">
        <f t="shared" si="18"/>
        <v>2023</v>
      </c>
    </row>
    <row r="1203" spans="1:7" x14ac:dyDescent="0.25">
      <c r="A1203" s="8">
        <v>45033</v>
      </c>
      <c r="B1203" s="9" t="s">
        <v>1218</v>
      </c>
      <c r="C1203" s="9" t="s">
        <v>22</v>
      </c>
      <c r="D1203" s="9">
        <v>1436.41</v>
      </c>
      <c r="E1203" s="9" t="s">
        <v>7</v>
      </c>
      <c r="F1203" s="12">
        <f>YEAR(Personal_Finance_Dataset[[#This Row],[Date]])</f>
        <v>2023</v>
      </c>
      <c r="G1203">
        <f t="shared" si="18"/>
        <v>2023</v>
      </c>
    </row>
    <row r="1204" spans="1:7" x14ac:dyDescent="0.25">
      <c r="A1204" s="8">
        <v>45034</v>
      </c>
      <c r="B1204" s="9" t="s">
        <v>1219</v>
      </c>
      <c r="C1204" s="9" t="s">
        <v>20</v>
      </c>
      <c r="D1204" s="9">
        <v>880</v>
      </c>
      <c r="E1204" s="9" t="s">
        <v>14</v>
      </c>
      <c r="F1204" s="12">
        <f>YEAR(Personal_Finance_Dataset[[#This Row],[Date]])</f>
        <v>2023</v>
      </c>
      <c r="G1204">
        <f t="shared" si="18"/>
        <v>2023</v>
      </c>
    </row>
    <row r="1205" spans="1:7" x14ac:dyDescent="0.25">
      <c r="A1205" s="8">
        <v>45035</v>
      </c>
      <c r="B1205" s="9" t="s">
        <v>1220</v>
      </c>
      <c r="C1205" s="9" t="s">
        <v>11</v>
      </c>
      <c r="D1205" s="9">
        <v>1546.57</v>
      </c>
      <c r="E1205" s="9" t="s">
        <v>7</v>
      </c>
      <c r="F1205" s="12">
        <f>YEAR(Personal_Finance_Dataset[[#This Row],[Date]])</f>
        <v>2023</v>
      </c>
      <c r="G1205">
        <f t="shared" si="18"/>
        <v>2023</v>
      </c>
    </row>
    <row r="1206" spans="1:7" x14ac:dyDescent="0.25">
      <c r="A1206" s="8">
        <v>45036</v>
      </c>
      <c r="B1206" s="9" t="s">
        <v>1221</v>
      </c>
      <c r="C1206" s="9" t="s">
        <v>9</v>
      </c>
      <c r="D1206" s="9">
        <v>1928.07</v>
      </c>
      <c r="E1206" s="9" t="s">
        <v>7</v>
      </c>
      <c r="F1206" s="12">
        <f>YEAR(Personal_Finance_Dataset[[#This Row],[Date]])</f>
        <v>2023</v>
      </c>
      <c r="G1206">
        <f t="shared" si="18"/>
        <v>2023</v>
      </c>
    </row>
    <row r="1207" spans="1:7" x14ac:dyDescent="0.25">
      <c r="A1207" s="8">
        <v>45037</v>
      </c>
      <c r="B1207" s="9" t="s">
        <v>1222</v>
      </c>
      <c r="C1207" s="9" t="s">
        <v>13</v>
      </c>
      <c r="D1207" s="9">
        <v>4045</v>
      </c>
      <c r="E1207" s="9" t="s">
        <v>14</v>
      </c>
      <c r="F1207" s="12">
        <f>YEAR(Personal_Finance_Dataset[[#This Row],[Date]])</f>
        <v>2023</v>
      </c>
      <c r="G1207">
        <f t="shared" si="18"/>
        <v>2023</v>
      </c>
    </row>
    <row r="1208" spans="1:7" x14ac:dyDescent="0.25">
      <c r="A1208" s="8">
        <v>45038</v>
      </c>
      <c r="B1208" s="9" t="s">
        <v>1223</v>
      </c>
      <c r="C1208" s="9" t="s">
        <v>27</v>
      </c>
      <c r="D1208" s="9">
        <v>1849.5</v>
      </c>
      <c r="E1208" s="9" t="s">
        <v>7</v>
      </c>
      <c r="F1208" s="12">
        <f>YEAR(Personal_Finance_Dataset[[#This Row],[Date]])</f>
        <v>2023</v>
      </c>
      <c r="G1208">
        <f t="shared" si="18"/>
        <v>2023</v>
      </c>
    </row>
    <row r="1209" spans="1:7" x14ac:dyDescent="0.25">
      <c r="A1209" s="8">
        <v>45039</v>
      </c>
      <c r="B1209" s="9" t="s">
        <v>1224</v>
      </c>
      <c r="C1209" s="9" t="s">
        <v>9</v>
      </c>
      <c r="D1209" s="9">
        <v>1386.72</v>
      </c>
      <c r="E1209" s="9" t="s">
        <v>7</v>
      </c>
      <c r="F1209" s="12">
        <f>YEAR(Personal_Finance_Dataset[[#This Row],[Date]])</f>
        <v>2023</v>
      </c>
      <c r="G1209">
        <f t="shared" si="18"/>
        <v>2023</v>
      </c>
    </row>
    <row r="1210" spans="1:7" x14ac:dyDescent="0.25">
      <c r="A1210" s="8">
        <v>45040</v>
      </c>
      <c r="B1210" s="9" t="s">
        <v>1225</v>
      </c>
      <c r="C1210" s="9" t="s">
        <v>13</v>
      </c>
      <c r="D1210" s="9">
        <v>1348</v>
      </c>
      <c r="E1210" s="9" t="s">
        <v>14</v>
      </c>
      <c r="F1210" s="12">
        <f>YEAR(Personal_Finance_Dataset[[#This Row],[Date]])</f>
        <v>2023</v>
      </c>
      <c r="G1210">
        <f t="shared" si="18"/>
        <v>2023</v>
      </c>
    </row>
    <row r="1211" spans="1:7" x14ac:dyDescent="0.25">
      <c r="A1211" s="8">
        <v>45041</v>
      </c>
      <c r="B1211" s="9" t="s">
        <v>1226</v>
      </c>
      <c r="C1211" s="9" t="s">
        <v>25</v>
      </c>
      <c r="D1211" s="9">
        <v>1013.18</v>
      </c>
      <c r="E1211" s="9" t="s">
        <v>7</v>
      </c>
      <c r="F1211" s="12">
        <f>YEAR(Personal_Finance_Dataset[[#This Row],[Date]])</f>
        <v>2023</v>
      </c>
      <c r="G1211">
        <f t="shared" si="18"/>
        <v>2023</v>
      </c>
    </row>
    <row r="1212" spans="1:7" x14ac:dyDescent="0.25">
      <c r="A1212" s="8">
        <v>45042</v>
      </c>
      <c r="B1212" s="9" t="s">
        <v>1227</v>
      </c>
      <c r="C1212" s="9" t="s">
        <v>22</v>
      </c>
      <c r="D1212" s="9">
        <v>554.46</v>
      </c>
      <c r="E1212" s="9" t="s">
        <v>7</v>
      </c>
      <c r="F1212" s="12">
        <f>YEAR(Personal_Finance_Dataset[[#This Row],[Date]])</f>
        <v>2023</v>
      </c>
      <c r="G1212">
        <f t="shared" si="18"/>
        <v>2023</v>
      </c>
    </row>
    <row r="1213" spans="1:7" x14ac:dyDescent="0.25">
      <c r="A1213" s="8">
        <v>45043</v>
      </c>
      <c r="B1213" s="9" t="s">
        <v>1228</v>
      </c>
      <c r="C1213" s="9" t="s">
        <v>35</v>
      </c>
      <c r="D1213" s="9">
        <v>911.16</v>
      </c>
      <c r="E1213" s="9" t="s">
        <v>7</v>
      </c>
      <c r="F1213" s="12">
        <f>YEAR(Personal_Finance_Dataset[[#This Row],[Date]])</f>
        <v>2023</v>
      </c>
      <c r="G1213">
        <f t="shared" si="18"/>
        <v>2023</v>
      </c>
    </row>
    <row r="1214" spans="1:7" x14ac:dyDescent="0.25">
      <c r="A1214" s="8">
        <v>45044</v>
      </c>
      <c r="B1214" s="9" t="s">
        <v>1229</v>
      </c>
      <c r="C1214" s="9" t="s">
        <v>20</v>
      </c>
      <c r="D1214" s="9">
        <v>4696</v>
      </c>
      <c r="E1214" s="9" t="s">
        <v>14</v>
      </c>
      <c r="F1214" s="12">
        <f>YEAR(Personal_Finance_Dataset[[#This Row],[Date]])</f>
        <v>2023</v>
      </c>
      <c r="G1214">
        <f t="shared" si="18"/>
        <v>2023</v>
      </c>
    </row>
    <row r="1215" spans="1:7" x14ac:dyDescent="0.25">
      <c r="A1215" s="8">
        <v>45045</v>
      </c>
      <c r="B1215" s="9" t="s">
        <v>1230</v>
      </c>
      <c r="C1215" s="9" t="s">
        <v>25</v>
      </c>
      <c r="D1215" s="9">
        <v>1426.63</v>
      </c>
      <c r="E1215" s="9" t="s">
        <v>7</v>
      </c>
      <c r="F1215" s="12">
        <f>YEAR(Personal_Finance_Dataset[[#This Row],[Date]])</f>
        <v>2023</v>
      </c>
      <c r="G1215">
        <f t="shared" si="18"/>
        <v>2023</v>
      </c>
    </row>
    <row r="1216" spans="1:7" x14ac:dyDescent="0.25">
      <c r="A1216" s="8">
        <v>45046</v>
      </c>
      <c r="B1216" s="9" t="s">
        <v>1231</v>
      </c>
      <c r="C1216" s="9" t="s">
        <v>22</v>
      </c>
      <c r="D1216" s="9">
        <v>409.77</v>
      </c>
      <c r="E1216" s="9" t="s">
        <v>7</v>
      </c>
      <c r="F1216" s="12">
        <f>YEAR(Personal_Finance_Dataset[[#This Row],[Date]])</f>
        <v>2023</v>
      </c>
      <c r="G1216">
        <f t="shared" si="18"/>
        <v>2023</v>
      </c>
    </row>
    <row r="1217" spans="1:7" x14ac:dyDescent="0.25">
      <c r="A1217" s="8">
        <v>45047</v>
      </c>
      <c r="B1217" s="9" t="s">
        <v>1232</v>
      </c>
      <c r="C1217" s="9" t="s">
        <v>35</v>
      </c>
      <c r="D1217" s="9">
        <v>1376.36</v>
      </c>
      <c r="E1217" s="9" t="s">
        <v>7</v>
      </c>
      <c r="F1217" s="12">
        <f>YEAR(Personal_Finance_Dataset[[#This Row],[Date]])</f>
        <v>2023</v>
      </c>
      <c r="G1217">
        <f t="shared" si="18"/>
        <v>2023</v>
      </c>
    </row>
    <row r="1218" spans="1:7" x14ac:dyDescent="0.25">
      <c r="A1218" s="8">
        <v>45048</v>
      </c>
      <c r="B1218" s="9" t="s">
        <v>1233</v>
      </c>
      <c r="C1218" s="9" t="s">
        <v>9</v>
      </c>
      <c r="D1218" s="9">
        <v>1962.86</v>
      </c>
      <c r="E1218" s="9" t="s">
        <v>7</v>
      </c>
      <c r="F1218" s="12">
        <f>YEAR(Personal_Finance_Dataset[[#This Row],[Date]])</f>
        <v>2023</v>
      </c>
      <c r="G1218">
        <f t="shared" ref="G1218:G1281" si="19">YEAR(A1218)</f>
        <v>2023</v>
      </c>
    </row>
    <row r="1219" spans="1:7" x14ac:dyDescent="0.25">
      <c r="A1219" s="8">
        <v>45049</v>
      </c>
      <c r="B1219" s="9" t="s">
        <v>1234</v>
      </c>
      <c r="C1219" s="9" t="s">
        <v>9</v>
      </c>
      <c r="D1219" s="9">
        <v>1012.75</v>
      </c>
      <c r="E1219" s="9" t="s">
        <v>7</v>
      </c>
      <c r="F1219" s="12">
        <f>YEAR(Personal_Finance_Dataset[[#This Row],[Date]])</f>
        <v>2023</v>
      </c>
      <c r="G1219">
        <f t="shared" si="19"/>
        <v>2023</v>
      </c>
    </row>
    <row r="1220" spans="1:7" x14ac:dyDescent="0.25">
      <c r="A1220" s="8">
        <v>45050</v>
      </c>
      <c r="B1220" s="9" t="s">
        <v>1235</v>
      </c>
      <c r="C1220" s="9" t="s">
        <v>25</v>
      </c>
      <c r="D1220" s="9">
        <v>1423.6</v>
      </c>
      <c r="E1220" s="9" t="s">
        <v>7</v>
      </c>
      <c r="F1220" s="12">
        <f>YEAR(Personal_Finance_Dataset[[#This Row],[Date]])</f>
        <v>2023</v>
      </c>
      <c r="G1220">
        <f t="shared" si="19"/>
        <v>2023</v>
      </c>
    </row>
    <row r="1221" spans="1:7" x14ac:dyDescent="0.25">
      <c r="A1221" s="8">
        <v>45051</v>
      </c>
      <c r="B1221" s="9" t="s">
        <v>1236</v>
      </c>
      <c r="C1221" s="9" t="s">
        <v>27</v>
      </c>
      <c r="D1221" s="9">
        <v>1169.78</v>
      </c>
      <c r="E1221" s="9" t="s">
        <v>7</v>
      </c>
      <c r="F1221" s="12">
        <f>YEAR(Personal_Finance_Dataset[[#This Row],[Date]])</f>
        <v>2023</v>
      </c>
      <c r="G1221">
        <f t="shared" si="19"/>
        <v>2023</v>
      </c>
    </row>
    <row r="1222" spans="1:7" x14ac:dyDescent="0.25">
      <c r="A1222" s="8">
        <v>45052</v>
      </c>
      <c r="B1222" s="9" t="s">
        <v>1237</v>
      </c>
      <c r="C1222" s="9" t="s">
        <v>17</v>
      </c>
      <c r="D1222" s="9">
        <v>1351.74</v>
      </c>
      <c r="E1222" s="9" t="s">
        <v>7</v>
      </c>
      <c r="F1222" s="12">
        <f>YEAR(Personal_Finance_Dataset[[#This Row],[Date]])</f>
        <v>2023</v>
      </c>
      <c r="G1222">
        <f t="shared" si="19"/>
        <v>2023</v>
      </c>
    </row>
    <row r="1223" spans="1:7" x14ac:dyDescent="0.25">
      <c r="A1223" s="8">
        <v>45053</v>
      </c>
      <c r="B1223" s="9" t="s">
        <v>1238</v>
      </c>
      <c r="C1223" s="9" t="s">
        <v>35</v>
      </c>
      <c r="D1223" s="9">
        <v>1756.18</v>
      </c>
      <c r="E1223" s="9" t="s">
        <v>7</v>
      </c>
      <c r="F1223" s="12">
        <f>YEAR(Personal_Finance_Dataset[[#This Row],[Date]])</f>
        <v>2023</v>
      </c>
      <c r="G1223">
        <f t="shared" si="19"/>
        <v>2023</v>
      </c>
    </row>
    <row r="1224" spans="1:7" x14ac:dyDescent="0.25">
      <c r="A1224" s="8">
        <v>45054</v>
      </c>
      <c r="B1224" s="9" t="s">
        <v>1239</v>
      </c>
      <c r="C1224" s="9" t="s">
        <v>6</v>
      </c>
      <c r="D1224" s="9">
        <v>1050.23</v>
      </c>
      <c r="E1224" s="9" t="s">
        <v>7</v>
      </c>
      <c r="F1224" s="12">
        <f>YEAR(Personal_Finance_Dataset[[#This Row],[Date]])</f>
        <v>2023</v>
      </c>
      <c r="G1224">
        <f t="shared" si="19"/>
        <v>2023</v>
      </c>
    </row>
    <row r="1225" spans="1:7" x14ac:dyDescent="0.25">
      <c r="A1225" s="8">
        <v>45055</v>
      </c>
      <c r="B1225" s="9" t="s">
        <v>1240</v>
      </c>
      <c r="C1225" s="9" t="s">
        <v>13</v>
      </c>
      <c r="D1225" s="9">
        <v>934</v>
      </c>
      <c r="E1225" s="9" t="s">
        <v>14</v>
      </c>
      <c r="F1225" s="12">
        <f>YEAR(Personal_Finance_Dataset[[#This Row],[Date]])</f>
        <v>2023</v>
      </c>
      <c r="G1225">
        <f t="shared" si="19"/>
        <v>2023</v>
      </c>
    </row>
    <row r="1226" spans="1:7" x14ac:dyDescent="0.25">
      <c r="A1226" s="8">
        <v>45056</v>
      </c>
      <c r="B1226" s="9" t="s">
        <v>1241</v>
      </c>
      <c r="C1226" s="9" t="s">
        <v>22</v>
      </c>
      <c r="D1226" s="9">
        <v>541.29</v>
      </c>
      <c r="E1226" s="9" t="s">
        <v>7</v>
      </c>
      <c r="F1226" s="12">
        <f>YEAR(Personal_Finance_Dataset[[#This Row],[Date]])</f>
        <v>2023</v>
      </c>
      <c r="G1226">
        <f t="shared" si="19"/>
        <v>2023</v>
      </c>
    </row>
    <row r="1227" spans="1:7" x14ac:dyDescent="0.25">
      <c r="A1227" s="8">
        <v>45057</v>
      </c>
      <c r="B1227" s="9" t="s">
        <v>1242</v>
      </c>
      <c r="C1227" s="9" t="s">
        <v>35</v>
      </c>
      <c r="D1227" s="9">
        <v>1369.95</v>
      </c>
      <c r="E1227" s="9" t="s">
        <v>7</v>
      </c>
      <c r="F1227" s="12">
        <f>YEAR(Personal_Finance_Dataset[[#This Row],[Date]])</f>
        <v>2023</v>
      </c>
      <c r="G1227">
        <f t="shared" si="19"/>
        <v>2023</v>
      </c>
    </row>
    <row r="1228" spans="1:7" x14ac:dyDescent="0.25">
      <c r="A1228" s="8">
        <v>45058</v>
      </c>
      <c r="B1228" s="9" t="s">
        <v>1243</v>
      </c>
      <c r="C1228" s="9" t="s">
        <v>13</v>
      </c>
      <c r="D1228" s="9">
        <v>2917</v>
      </c>
      <c r="E1228" s="9" t="s">
        <v>14</v>
      </c>
      <c r="F1228" s="12">
        <f>YEAR(Personal_Finance_Dataset[[#This Row],[Date]])</f>
        <v>2023</v>
      </c>
      <c r="G1228">
        <f t="shared" si="19"/>
        <v>2023</v>
      </c>
    </row>
    <row r="1229" spans="1:7" x14ac:dyDescent="0.25">
      <c r="A1229" s="8">
        <v>45059</v>
      </c>
      <c r="B1229" s="9" t="s">
        <v>1244</v>
      </c>
      <c r="C1229" s="9" t="s">
        <v>6</v>
      </c>
      <c r="D1229" s="9">
        <v>723.78</v>
      </c>
      <c r="E1229" s="9" t="s">
        <v>7</v>
      </c>
      <c r="F1229" s="12">
        <f>YEAR(Personal_Finance_Dataset[[#This Row],[Date]])</f>
        <v>2023</v>
      </c>
      <c r="G1229">
        <f t="shared" si="19"/>
        <v>2023</v>
      </c>
    </row>
    <row r="1230" spans="1:7" x14ac:dyDescent="0.25">
      <c r="A1230" s="8">
        <v>45060</v>
      </c>
      <c r="B1230" s="9" t="s">
        <v>1245</v>
      </c>
      <c r="C1230" s="9" t="s">
        <v>22</v>
      </c>
      <c r="D1230" s="9">
        <v>1487.4</v>
      </c>
      <c r="E1230" s="9" t="s">
        <v>7</v>
      </c>
      <c r="F1230" s="12">
        <f>YEAR(Personal_Finance_Dataset[[#This Row],[Date]])</f>
        <v>2023</v>
      </c>
      <c r="G1230">
        <f t="shared" si="19"/>
        <v>2023</v>
      </c>
    </row>
    <row r="1231" spans="1:7" x14ac:dyDescent="0.25">
      <c r="A1231" s="8">
        <v>45061</v>
      </c>
      <c r="B1231" s="9" t="s">
        <v>1246</v>
      </c>
      <c r="C1231" s="9" t="s">
        <v>22</v>
      </c>
      <c r="D1231" s="9">
        <v>1026.74</v>
      </c>
      <c r="E1231" s="9" t="s">
        <v>7</v>
      </c>
      <c r="F1231" s="12">
        <f>YEAR(Personal_Finance_Dataset[[#This Row],[Date]])</f>
        <v>2023</v>
      </c>
      <c r="G1231">
        <f t="shared" si="19"/>
        <v>2023</v>
      </c>
    </row>
    <row r="1232" spans="1:7" x14ac:dyDescent="0.25">
      <c r="A1232" s="8">
        <v>45062</v>
      </c>
      <c r="B1232" s="9" t="s">
        <v>1247</v>
      </c>
      <c r="C1232" s="9" t="s">
        <v>35</v>
      </c>
      <c r="D1232" s="9">
        <v>1388.94</v>
      </c>
      <c r="E1232" s="9" t="s">
        <v>7</v>
      </c>
      <c r="F1232" s="12">
        <f>YEAR(Personal_Finance_Dataset[[#This Row],[Date]])</f>
        <v>2023</v>
      </c>
      <c r="G1232">
        <f t="shared" si="19"/>
        <v>2023</v>
      </c>
    </row>
    <row r="1233" spans="1:7" x14ac:dyDescent="0.25">
      <c r="A1233" s="8">
        <v>45063</v>
      </c>
      <c r="B1233" s="9" t="s">
        <v>1248</v>
      </c>
      <c r="C1233" s="9" t="s">
        <v>20</v>
      </c>
      <c r="D1233" s="9">
        <v>3674</v>
      </c>
      <c r="E1233" s="9" t="s">
        <v>14</v>
      </c>
      <c r="F1233" s="12">
        <f>YEAR(Personal_Finance_Dataset[[#This Row],[Date]])</f>
        <v>2023</v>
      </c>
      <c r="G1233">
        <f t="shared" si="19"/>
        <v>2023</v>
      </c>
    </row>
    <row r="1234" spans="1:7" x14ac:dyDescent="0.25">
      <c r="A1234" s="8">
        <v>45064</v>
      </c>
      <c r="B1234" s="9" t="s">
        <v>1249</v>
      </c>
      <c r="C1234" s="9" t="s">
        <v>25</v>
      </c>
      <c r="D1234" s="9">
        <v>1932.01</v>
      </c>
      <c r="E1234" s="9" t="s">
        <v>7</v>
      </c>
      <c r="F1234" s="12">
        <f>YEAR(Personal_Finance_Dataset[[#This Row],[Date]])</f>
        <v>2023</v>
      </c>
      <c r="G1234">
        <f t="shared" si="19"/>
        <v>2023</v>
      </c>
    </row>
    <row r="1235" spans="1:7" x14ac:dyDescent="0.25">
      <c r="A1235" s="8">
        <v>45065</v>
      </c>
      <c r="B1235" s="9" t="s">
        <v>1250</v>
      </c>
      <c r="C1235" s="9" t="s">
        <v>20</v>
      </c>
      <c r="D1235" s="9">
        <v>2163</v>
      </c>
      <c r="E1235" s="9" t="s">
        <v>14</v>
      </c>
      <c r="F1235" s="12">
        <f>YEAR(Personal_Finance_Dataset[[#This Row],[Date]])</f>
        <v>2023</v>
      </c>
      <c r="G1235">
        <f t="shared" si="19"/>
        <v>2023</v>
      </c>
    </row>
    <row r="1236" spans="1:7" x14ac:dyDescent="0.25">
      <c r="A1236" s="8">
        <v>45066</v>
      </c>
      <c r="B1236" s="9" t="s">
        <v>1251</v>
      </c>
      <c r="C1236" s="9" t="s">
        <v>27</v>
      </c>
      <c r="D1236" s="9">
        <v>1661.67</v>
      </c>
      <c r="E1236" s="9" t="s">
        <v>7</v>
      </c>
      <c r="F1236" s="12">
        <f>YEAR(Personal_Finance_Dataset[[#This Row],[Date]])</f>
        <v>2023</v>
      </c>
      <c r="G1236">
        <f t="shared" si="19"/>
        <v>2023</v>
      </c>
    </row>
    <row r="1237" spans="1:7" x14ac:dyDescent="0.25">
      <c r="A1237" s="8">
        <v>45067</v>
      </c>
      <c r="B1237" s="9" t="s">
        <v>1252</v>
      </c>
      <c r="C1237" s="9" t="s">
        <v>25</v>
      </c>
      <c r="D1237" s="9">
        <v>1512.66</v>
      </c>
      <c r="E1237" s="9" t="s">
        <v>7</v>
      </c>
      <c r="F1237" s="12">
        <f>YEAR(Personal_Finance_Dataset[[#This Row],[Date]])</f>
        <v>2023</v>
      </c>
      <c r="G1237">
        <f t="shared" si="19"/>
        <v>2023</v>
      </c>
    </row>
    <row r="1238" spans="1:7" x14ac:dyDescent="0.25">
      <c r="A1238" s="8">
        <v>45068</v>
      </c>
      <c r="B1238" s="9" t="s">
        <v>1253</v>
      </c>
      <c r="C1238" s="9" t="s">
        <v>22</v>
      </c>
      <c r="D1238" s="9">
        <v>1554.53</v>
      </c>
      <c r="E1238" s="9" t="s">
        <v>7</v>
      </c>
      <c r="F1238" s="12">
        <f>YEAR(Personal_Finance_Dataset[[#This Row],[Date]])</f>
        <v>2023</v>
      </c>
      <c r="G1238">
        <f t="shared" si="19"/>
        <v>2023</v>
      </c>
    </row>
    <row r="1239" spans="1:7" x14ac:dyDescent="0.25">
      <c r="A1239" s="8">
        <v>45069</v>
      </c>
      <c r="B1239" s="9" t="s">
        <v>1254</v>
      </c>
      <c r="C1239" s="9" t="s">
        <v>35</v>
      </c>
      <c r="D1239" s="9">
        <v>903.14</v>
      </c>
      <c r="E1239" s="9" t="s">
        <v>7</v>
      </c>
      <c r="F1239" s="12">
        <f>YEAR(Personal_Finance_Dataset[[#This Row],[Date]])</f>
        <v>2023</v>
      </c>
      <c r="G1239">
        <f t="shared" si="19"/>
        <v>2023</v>
      </c>
    </row>
    <row r="1240" spans="1:7" x14ac:dyDescent="0.25">
      <c r="A1240" s="8">
        <v>45070</v>
      </c>
      <c r="B1240" s="9" t="s">
        <v>1255</v>
      </c>
      <c r="C1240" s="9" t="s">
        <v>11</v>
      </c>
      <c r="D1240" s="9">
        <v>382.08</v>
      </c>
      <c r="E1240" s="9" t="s">
        <v>7</v>
      </c>
      <c r="F1240" s="12">
        <f>YEAR(Personal_Finance_Dataset[[#This Row],[Date]])</f>
        <v>2023</v>
      </c>
      <c r="G1240">
        <f t="shared" si="19"/>
        <v>2023</v>
      </c>
    </row>
    <row r="1241" spans="1:7" x14ac:dyDescent="0.25">
      <c r="A1241" s="8">
        <v>45071</v>
      </c>
      <c r="B1241" s="9" t="s">
        <v>1256</v>
      </c>
      <c r="C1241" s="9" t="s">
        <v>13</v>
      </c>
      <c r="D1241" s="9">
        <v>3590</v>
      </c>
      <c r="E1241" s="9" t="s">
        <v>14</v>
      </c>
      <c r="F1241" s="12">
        <f>YEAR(Personal_Finance_Dataset[[#This Row],[Date]])</f>
        <v>2023</v>
      </c>
      <c r="G1241">
        <f t="shared" si="19"/>
        <v>2023</v>
      </c>
    </row>
    <row r="1242" spans="1:7" x14ac:dyDescent="0.25">
      <c r="A1242" s="8">
        <v>45072</v>
      </c>
      <c r="B1242" s="9" t="s">
        <v>1257</v>
      </c>
      <c r="C1242" s="9" t="s">
        <v>20</v>
      </c>
      <c r="D1242" s="9">
        <v>2664</v>
      </c>
      <c r="E1242" s="9" t="s">
        <v>14</v>
      </c>
      <c r="F1242" s="12">
        <f>YEAR(Personal_Finance_Dataset[[#This Row],[Date]])</f>
        <v>2023</v>
      </c>
      <c r="G1242">
        <f t="shared" si="19"/>
        <v>2023</v>
      </c>
    </row>
    <row r="1243" spans="1:7" x14ac:dyDescent="0.25">
      <c r="A1243" s="8">
        <v>45073</v>
      </c>
      <c r="B1243" s="9" t="s">
        <v>1258</v>
      </c>
      <c r="C1243" s="9" t="s">
        <v>20</v>
      </c>
      <c r="D1243" s="9">
        <v>546</v>
      </c>
      <c r="E1243" s="9" t="s">
        <v>14</v>
      </c>
      <c r="F1243" s="12">
        <f>YEAR(Personal_Finance_Dataset[[#This Row],[Date]])</f>
        <v>2023</v>
      </c>
      <c r="G1243">
        <f t="shared" si="19"/>
        <v>2023</v>
      </c>
    </row>
    <row r="1244" spans="1:7" x14ac:dyDescent="0.25">
      <c r="A1244" s="8">
        <v>45074</v>
      </c>
      <c r="B1244" s="9" t="s">
        <v>1259</v>
      </c>
      <c r="C1244" s="9" t="s">
        <v>9</v>
      </c>
      <c r="D1244" s="9">
        <v>89.48</v>
      </c>
      <c r="E1244" s="9" t="s">
        <v>7</v>
      </c>
      <c r="F1244" s="12">
        <f>YEAR(Personal_Finance_Dataset[[#This Row],[Date]])</f>
        <v>2023</v>
      </c>
      <c r="G1244">
        <f t="shared" si="19"/>
        <v>2023</v>
      </c>
    </row>
    <row r="1245" spans="1:7" x14ac:dyDescent="0.25">
      <c r="A1245" s="8">
        <v>45075</v>
      </c>
      <c r="B1245" s="9" t="s">
        <v>1260</v>
      </c>
      <c r="C1245" s="9" t="s">
        <v>6</v>
      </c>
      <c r="D1245" s="9">
        <v>1549.59</v>
      </c>
      <c r="E1245" s="9" t="s">
        <v>7</v>
      </c>
      <c r="F1245" s="12">
        <f>YEAR(Personal_Finance_Dataset[[#This Row],[Date]])</f>
        <v>2023</v>
      </c>
      <c r="G1245">
        <f t="shared" si="19"/>
        <v>2023</v>
      </c>
    </row>
    <row r="1246" spans="1:7" x14ac:dyDescent="0.25">
      <c r="A1246" s="8">
        <v>45076</v>
      </c>
      <c r="B1246" s="9" t="s">
        <v>1261</v>
      </c>
      <c r="C1246" s="9" t="s">
        <v>35</v>
      </c>
      <c r="D1246" s="9">
        <v>986.2</v>
      </c>
      <c r="E1246" s="9" t="s">
        <v>7</v>
      </c>
      <c r="F1246" s="12">
        <f>YEAR(Personal_Finance_Dataset[[#This Row],[Date]])</f>
        <v>2023</v>
      </c>
      <c r="G1246">
        <f t="shared" si="19"/>
        <v>2023</v>
      </c>
    </row>
    <row r="1247" spans="1:7" x14ac:dyDescent="0.25">
      <c r="A1247" s="8">
        <v>45077</v>
      </c>
      <c r="B1247" s="9" t="s">
        <v>1262</v>
      </c>
      <c r="C1247" s="9" t="s">
        <v>25</v>
      </c>
      <c r="D1247" s="9">
        <v>155.03</v>
      </c>
      <c r="E1247" s="9" t="s">
        <v>7</v>
      </c>
      <c r="F1247" s="12">
        <f>YEAR(Personal_Finance_Dataset[[#This Row],[Date]])</f>
        <v>2023</v>
      </c>
      <c r="G1247">
        <f t="shared" si="19"/>
        <v>2023</v>
      </c>
    </row>
    <row r="1248" spans="1:7" x14ac:dyDescent="0.25">
      <c r="A1248" s="8">
        <v>45078</v>
      </c>
      <c r="B1248" s="9" t="s">
        <v>1263</v>
      </c>
      <c r="C1248" s="9" t="s">
        <v>22</v>
      </c>
      <c r="D1248" s="9">
        <v>1914.41</v>
      </c>
      <c r="E1248" s="9" t="s">
        <v>7</v>
      </c>
      <c r="F1248" s="12">
        <f>YEAR(Personal_Finance_Dataset[[#This Row],[Date]])</f>
        <v>2023</v>
      </c>
      <c r="G1248">
        <f t="shared" si="19"/>
        <v>2023</v>
      </c>
    </row>
    <row r="1249" spans="1:7" x14ac:dyDescent="0.25">
      <c r="A1249" s="8">
        <v>45079</v>
      </c>
      <c r="B1249" s="9" t="s">
        <v>1264</v>
      </c>
      <c r="C1249" s="9" t="s">
        <v>9</v>
      </c>
      <c r="D1249" s="9">
        <v>837.7</v>
      </c>
      <c r="E1249" s="9" t="s">
        <v>7</v>
      </c>
      <c r="F1249" s="12">
        <f>YEAR(Personal_Finance_Dataset[[#This Row],[Date]])</f>
        <v>2023</v>
      </c>
      <c r="G1249">
        <f t="shared" si="19"/>
        <v>2023</v>
      </c>
    </row>
    <row r="1250" spans="1:7" x14ac:dyDescent="0.25">
      <c r="A1250" s="8">
        <v>45080</v>
      </c>
      <c r="B1250" s="9" t="s">
        <v>1265</v>
      </c>
      <c r="C1250" s="9" t="s">
        <v>11</v>
      </c>
      <c r="D1250" s="9">
        <v>705.31</v>
      </c>
      <c r="E1250" s="9" t="s">
        <v>7</v>
      </c>
      <c r="F1250" s="12">
        <f>YEAR(Personal_Finance_Dataset[[#This Row],[Date]])</f>
        <v>2023</v>
      </c>
      <c r="G1250">
        <f t="shared" si="19"/>
        <v>2023</v>
      </c>
    </row>
    <row r="1251" spans="1:7" x14ac:dyDescent="0.25">
      <c r="A1251" s="8">
        <v>45081</v>
      </c>
      <c r="B1251" s="9" t="s">
        <v>1266</v>
      </c>
      <c r="C1251" s="9" t="s">
        <v>25</v>
      </c>
      <c r="D1251" s="9">
        <v>668.82</v>
      </c>
      <c r="E1251" s="9" t="s">
        <v>7</v>
      </c>
      <c r="F1251" s="12">
        <f>YEAR(Personal_Finance_Dataset[[#This Row],[Date]])</f>
        <v>2023</v>
      </c>
      <c r="G1251">
        <f t="shared" si="19"/>
        <v>2023</v>
      </c>
    </row>
    <row r="1252" spans="1:7" x14ac:dyDescent="0.25">
      <c r="A1252" s="8">
        <v>45082</v>
      </c>
      <c r="B1252" s="9" t="s">
        <v>1267</v>
      </c>
      <c r="C1252" s="9" t="s">
        <v>27</v>
      </c>
      <c r="D1252" s="9">
        <v>1993.3</v>
      </c>
      <c r="E1252" s="9" t="s">
        <v>7</v>
      </c>
      <c r="F1252" s="12">
        <f>YEAR(Personal_Finance_Dataset[[#This Row],[Date]])</f>
        <v>2023</v>
      </c>
      <c r="G1252">
        <f t="shared" si="19"/>
        <v>2023</v>
      </c>
    </row>
    <row r="1253" spans="1:7" x14ac:dyDescent="0.25">
      <c r="A1253" s="8">
        <v>45083</v>
      </c>
      <c r="B1253" s="9" t="s">
        <v>1268</v>
      </c>
      <c r="C1253" s="9" t="s">
        <v>6</v>
      </c>
      <c r="D1253" s="9">
        <v>238.3</v>
      </c>
      <c r="E1253" s="9" t="s">
        <v>7</v>
      </c>
      <c r="F1253" s="12">
        <f>YEAR(Personal_Finance_Dataset[[#This Row],[Date]])</f>
        <v>2023</v>
      </c>
      <c r="G1253">
        <f t="shared" si="19"/>
        <v>2023</v>
      </c>
    </row>
    <row r="1254" spans="1:7" x14ac:dyDescent="0.25">
      <c r="A1254" s="8">
        <v>45084</v>
      </c>
      <c r="B1254" s="9" t="s">
        <v>1269</v>
      </c>
      <c r="C1254" s="9" t="s">
        <v>22</v>
      </c>
      <c r="D1254" s="9">
        <v>1809.95</v>
      </c>
      <c r="E1254" s="9" t="s">
        <v>7</v>
      </c>
      <c r="F1254" s="12">
        <f>YEAR(Personal_Finance_Dataset[[#This Row],[Date]])</f>
        <v>2023</v>
      </c>
      <c r="G1254">
        <f t="shared" si="19"/>
        <v>2023</v>
      </c>
    </row>
    <row r="1255" spans="1:7" x14ac:dyDescent="0.25">
      <c r="A1255" s="8">
        <v>45085</v>
      </c>
      <c r="B1255" s="9" t="s">
        <v>1270</v>
      </c>
      <c r="C1255" s="9" t="s">
        <v>22</v>
      </c>
      <c r="D1255" s="9">
        <v>1918.2</v>
      </c>
      <c r="E1255" s="9" t="s">
        <v>7</v>
      </c>
      <c r="F1255" s="12">
        <f>YEAR(Personal_Finance_Dataset[[#This Row],[Date]])</f>
        <v>2023</v>
      </c>
      <c r="G1255">
        <f t="shared" si="19"/>
        <v>2023</v>
      </c>
    </row>
    <row r="1256" spans="1:7" x14ac:dyDescent="0.25">
      <c r="A1256" s="8">
        <v>45086</v>
      </c>
      <c r="B1256" s="9" t="s">
        <v>1271</v>
      </c>
      <c r="C1256" s="9" t="s">
        <v>25</v>
      </c>
      <c r="D1256" s="9">
        <v>768.93</v>
      </c>
      <c r="E1256" s="9" t="s">
        <v>7</v>
      </c>
      <c r="F1256" s="12">
        <f>YEAR(Personal_Finance_Dataset[[#This Row],[Date]])</f>
        <v>2023</v>
      </c>
      <c r="G1256">
        <f t="shared" si="19"/>
        <v>2023</v>
      </c>
    </row>
    <row r="1257" spans="1:7" x14ac:dyDescent="0.25">
      <c r="A1257" s="8">
        <v>45087</v>
      </c>
      <c r="B1257" s="9" t="s">
        <v>1272</v>
      </c>
      <c r="C1257" s="9" t="s">
        <v>11</v>
      </c>
      <c r="D1257" s="9">
        <v>777.89</v>
      </c>
      <c r="E1257" s="9" t="s">
        <v>7</v>
      </c>
      <c r="F1257" s="12">
        <f>YEAR(Personal_Finance_Dataset[[#This Row],[Date]])</f>
        <v>2023</v>
      </c>
      <c r="G1257">
        <f t="shared" si="19"/>
        <v>2023</v>
      </c>
    </row>
    <row r="1258" spans="1:7" x14ac:dyDescent="0.25">
      <c r="A1258" s="8">
        <v>45088</v>
      </c>
      <c r="B1258" s="9" t="s">
        <v>1273</v>
      </c>
      <c r="C1258" s="9" t="s">
        <v>35</v>
      </c>
      <c r="D1258" s="9">
        <v>59.16</v>
      </c>
      <c r="E1258" s="9" t="s">
        <v>7</v>
      </c>
      <c r="F1258" s="12">
        <f>YEAR(Personal_Finance_Dataset[[#This Row],[Date]])</f>
        <v>2023</v>
      </c>
      <c r="G1258">
        <f t="shared" si="19"/>
        <v>2023</v>
      </c>
    </row>
    <row r="1259" spans="1:7" x14ac:dyDescent="0.25">
      <c r="A1259" s="8">
        <v>45089</v>
      </c>
      <c r="B1259" s="9" t="s">
        <v>1274</v>
      </c>
      <c r="C1259" s="9" t="s">
        <v>25</v>
      </c>
      <c r="D1259" s="9">
        <v>1033.48</v>
      </c>
      <c r="E1259" s="9" t="s">
        <v>7</v>
      </c>
      <c r="F1259" s="12">
        <f>YEAR(Personal_Finance_Dataset[[#This Row],[Date]])</f>
        <v>2023</v>
      </c>
      <c r="G1259">
        <f t="shared" si="19"/>
        <v>2023</v>
      </c>
    </row>
    <row r="1260" spans="1:7" x14ac:dyDescent="0.25">
      <c r="A1260" s="8">
        <v>45090</v>
      </c>
      <c r="B1260" s="9" t="s">
        <v>1275</v>
      </c>
      <c r="C1260" s="9" t="s">
        <v>27</v>
      </c>
      <c r="D1260" s="9">
        <v>97.26</v>
      </c>
      <c r="E1260" s="9" t="s">
        <v>7</v>
      </c>
      <c r="F1260" s="12">
        <f>YEAR(Personal_Finance_Dataset[[#This Row],[Date]])</f>
        <v>2023</v>
      </c>
      <c r="G1260">
        <f t="shared" si="19"/>
        <v>2023</v>
      </c>
    </row>
    <row r="1261" spans="1:7" x14ac:dyDescent="0.25">
      <c r="A1261" s="8">
        <v>45091</v>
      </c>
      <c r="B1261" s="9" t="s">
        <v>1276</v>
      </c>
      <c r="C1261" s="9" t="s">
        <v>22</v>
      </c>
      <c r="D1261" s="9">
        <v>647.41999999999996</v>
      </c>
      <c r="E1261" s="9" t="s">
        <v>7</v>
      </c>
      <c r="F1261" s="12">
        <f>YEAR(Personal_Finance_Dataset[[#This Row],[Date]])</f>
        <v>2023</v>
      </c>
      <c r="G1261">
        <f t="shared" si="19"/>
        <v>2023</v>
      </c>
    </row>
    <row r="1262" spans="1:7" x14ac:dyDescent="0.25">
      <c r="A1262" s="8">
        <v>45092</v>
      </c>
      <c r="B1262" s="9" t="s">
        <v>1277</v>
      </c>
      <c r="C1262" s="9" t="s">
        <v>13</v>
      </c>
      <c r="D1262" s="9">
        <v>1871</v>
      </c>
      <c r="E1262" s="9" t="s">
        <v>14</v>
      </c>
      <c r="F1262" s="12">
        <f>YEAR(Personal_Finance_Dataset[[#This Row],[Date]])</f>
        <v>2023</v>
      </c>
      <c r="G1262">
        <f t="shared" si="19"/>
        <v>2023</v>
      </c>
    </row>
    <row r="1263" spans="1:7" x14ac:dyDescent="0.25">
      <c r="A1263" s="8">
        <v>45093</v>
      </c>
      <c r="B1263" s="9" t="s">
        <v>1278</v>
      </c>
      <c r="C1263" s="9" t="s">
        <v>6</v>
      </c>
      <c r="D1263" s="9">
        <v>1257.5999999999999</v>
      </c>
      <c r="E1263" s="9" t="s">
        <v>7</v>
      </c>
      <c r="F1263" s="12">
        <f>YEAR(Personal_Finance_Dataset[[#This Row],[Date]])</f>
        <v>2023</v>
      </c>
      <c r="G1263">
        <f t="shared" si="19"/>
        <v>2023</v>
      </c>
    </row>
    <row r="1264" spans="1:7" x14ac:dyDescent="0.25">
      <c r="A1264" s="8">
        <v>45094</v>
      </c>
      <c r="B1264" s="9" t="s">
        <v>1279</v>
      </c>
      <c r="C1264" s="9" t="s">
        <v>22</v>
      </c>
      <c r="D1264" s="9">
        <v>1731.25</v>
      </c>
      <c r="E1264" s="9" t="s">
        <v>7</v>
      </c>
      <c r="F1264" s="12">
        <f>YEAR(Personal_Finance_Dataset[[#This Row],[Date]])</f>
        <v>2023</v>
      </c>
      <c r="G1264">
        <f t="shared" si="19"/>
        <v>2023</v>
      </c>
    </row>
    <row r="1265" spans="1:7" x14ac:dyDescent="0.25">
      <c r="A1265" s="8">
        <v>45095</v>
      </c>
      <c r="B1265" s="9" t="s">
        <v>1280</v>
      </c>
      <c r="C1265" s="9" t="s">
        <v>11</v>
      </c>
      <c r="D1265" s="9">
        <v>419.1</v>
      </c>
      <c r="E1265" s="9" t="s">
        <v>7</v>
      </c>
      <c r="F1265" s="12">
        <f>YEAR(Personal_Finance_Dataset[[#This Row],[Date]])</f>
        <v>2023</v>
      </c>
      <c r="G1265">
        <f t="shared" si="19"/>
        <v>2023</v>
      </c>
    </row>
    <row r="1266" spans="1:7" x14ac:dyDescent="0.25">
      <c r="A1266" s="8">
        <v>45096</v>
      </c>
      <c r="B1266" s="9" t="s">
        <v>1281</v>
      </c>
      <c r="C1266" s="9" t="s">
        <v>17</v>
      </c>
      <c r="D1266" s="9">
        <v>1296.6600000000001</v>
      </c>
      <c r="E1266" s="9" t="s">
        <v>7</v>
      </c>
      <c r="F1266" s="12">
        <f>YEAR(Personal_Finance_Dataset[[#This Row],[Date]])</f>
        <v>2023</v>
      </c>
      <c r="G1266">
        <f t="shared" si="19"/>
        <v>2023</v>
      </c>
    </row>
    <row r="1267" spans="1:7" x14ac:dyDescent="0.25">
      <c r="A1267" s="8">
        <v>45097</v>
      </c>
      <c r="B1267" s="9" t="s">
        <v>1282</v>
      </c>
      <c r="C1267" s="9" t="s">
        <v>9</v>
      </c>
      <c r="D1267" s="9">
        <v>57.27</v>
      </c>
      <c r="E1267" s="9" t="s">
        <v>7</v>
      </c>
      <c r="F1267" s="12">
        <f>YEAR(Personal_Finance_Dataset[[#This Row],[Date]])</f>
        <v>2023</v>
      </c>
      <c r="G1267">
        <f t="shared" si="19"/>
        <v>2023</v>
      </c>
    </row>
    <row r="1268" spans="1:7" x14ac:dyDescent="0.25">
      <c r="A1268" s="8">
        <v>45098</v>
      </c>
      <c r="B1268" s="9" t="s">
        <v>1283</v>
      </c>
      <c r="C1268" s="9" t="s">
        <v>6</v>
      </c>
      <c r="D1268" s="9">
        <v>184.17</v>
      </c>
      <c r="E1268" s="9" t="s">
        <v>7</v>
      </c>
      <c r="F1268" s="12">
        <f>YEAR(Personal_Finance_Dataset[[#This Row],[Date]])</f>
        <v>2023</v>
      </c>
      <c r="G1268">
        <f t="shared" si="19"/>
        <v>2023</v>
      </c>
    </row>
    <row r="1269" spans="1:7" x14ac:dyDescent="0.25">
      <c r="A1269" s="8">
        <v>45099</v>
      </c>
      <c r="B1269" s="9" t="s">
        <v>1284</v>
      </c>
      <c r="C1269" s="9" t="s">
        <v>20</v>
      </c>
      <c r="D1269" s="9">
        <v>1077</v>
      </c>
      <c r="E1269" s="9" t="s">
        <v>14</v>
      </c>
      <c r="F1269" s="12">
        <f>YEAR(Personal_Finance_Dataset[[#This Row],[Date]])</f>
        <v>2023</v>
      </c>
      <c r="G1269">
        <f t="shared" si="19"/>
        <v>2023</v>
      </c>
    </row>
    <row r="1270" spans="1:7" x14ac:dyDescent="0.25">
      <c r="A1270" s="8">
        <v>45100</v>
      </c>
      <c r="B1270" s="9" t="s">
        <v>1285</v>
      </c>
      <c r="C1270" s="9" t="s">
        <v>22</v>
      </c>
      <c r="D1270" s="9">
        <v>1822.86</v>
      </c>
      <c r="E1270" s="9" t="s">
        <v>7</v>
      </c>
      <c r="F1270" s="12">
        <f>YEAR(Personal_Finance_Dataset[[#This Row],[Date]])</f>
        <v>2023</v>
      </c>
      <c r="G1270">
        <f t="shared" si="19"/>
        <v>2023</v>
      </c>
    </row>
    <row r="1271" spans="1:7" x14ac:dyDescent="0.25">
      <c r="A1271" s="8">
        <v>45101</v>
      </c>
      <c r="B1271" s="9" t="s">
        <v>1286</v>
      </c>
      <c r="C1271" s="9" t="s">
        <v>27</v>
      </c>
      <c r="D1271" s="9">
        <v>1264.1300000000001</v>
      </c>
      <c r="E1271" s="9" t="s">
        <v>7</v>
      </c>
      <c r="F1271" s="12">
        <f>YEAR(Personal_Finance_Dataset[[#This Row],[Date]])</f>
        <v>2023</v>
      </c>
      <c r="G1271">
        <f t="shared" si="19"/>
        <v>2023</v>
      </c>
    </row>
    <row r="1272" spans="1:7" x14ac:dyDescent="0.25">
      <c r="A1272" s="8">
        <v>45102</v>
      </c>
      <c r="B1272" s="9" t="s">
        <v>1287</v>
      </c>
      <c r="C1272" s="9" t="s">
        <v>6</v>
      </c>
      <c r="D1272" s="9">
        <v>785.11</v>
      </c>
      <c r="E1272" s="9" t="s">
        <v>7</v>
      </c>
      <c r="F1272" s="12">
        <f>YEAR(Personal_Finance_Dataset[[#This Row],[Date]])</f>
        <v>2023</v>
      </c>
      <c r="G1272">
        <f t="shared" si="19"/>
        <v>2023</v>
      </c>
    </row>
    <row r="1273" spans="1:7" x14ac:dyDescent="0.25">
      <c r="A1273" s="8">
        <v>45103</v>
      </c>
      <c r="B1273" s="9" t="s">
        <v>1288</v>
      </c>
      <c r="C1273" s="9" t="s">
        <v>13</v>
      </c>
      <c r="D1273" s="9">
        <v>1018</v>
      </c>
      <c r="E1273" s="9" t="s">
        <v>14</v>
      </c>
      <c r="F1273" s="12">
        <f>YEAR(Personal_Finance_Dataset[[#This Row],[Date]])</f>
        <v>2023</v>
      </c>
      <c r="G1273">
        <f t="shared" si="19"/>
        <v>2023</v>
      </c>
    </row>
    <row r="1274" spans="1:7" x14ac:dyDescent="0.25">
      <c r="A1274" s="8">
        <v>45104</v>
      </c>
      <c r="B1274" s="9" t="s">
        <v>1289</v>
      </c>
      <c r="C1274" s="9" t="s">
        <v>6</v>
      </c>
      <c r="D1274" s="9">
        <v>1404.76</v>
      </c>
      <c r="E1274" s="9" t="s">
        <v>7</v>
      </c>
      <c r="F1274" s="12">
        <f>YEAR(Personal_Finance_Dataset[[#This Row],[Date]])</f>
        <v>2023</v>
      </c>
      <c r="G1274">
        <f t="shared" si="19"/>
        <v>2023</v>
      </c>
    </row>
    <row r="1275" spans="1:7" x14ac:dyDescent="0.25">
      <c r="A1275" s="8">
        <v>45105</v>
      </c>
      <c r="B1275" s="9" t="s">
        <v>1290</v>
      </c>
      <c r="C1275" s="9" t="s">
        <v>13</v>
      </c>
      <c r="D1275" s="9">
        <v>2874</v>
      </c>
      <c r="E1275" s="9" t="s">
        <v>14</v>
      </c>
      <c r="F1275" s="12">
        <f>YEAR(Personal_Finance_Dataset[[#This Row],[Date]])</f>
        <v>2023</v>
      </c>
      <c r="G1275">
        <f t="shared" si="19"/>
        <v>2023</v>
      </c>
    </row>
    <row r="1276" spans="1:7" x14ac:dyDescent="0.25">
      <c r="A1276" s="8">
        <v>45106</v>
      </c>
      <c r="B1276" s="9" t="s">
        <v>1291</v>
      </c>
      <c r="C1276" s="9" t="s">
        <v>35</v>
      </c>
      <c r="D1276" s="9">
        <v>1217.07</v>
      </c>
      <c r="E1276" s="9" t="s">
        <v>7</v>
      </c>
      <c r="F1276" s="12">
        <f>YEAR(Personal_Finance_Dataset[[#This Row],[Date]])</f>
        <v>2023</v>
      </c>
      <c r="G1276">
        <f t="shared" si="19"/>
        <v>2023</v>
      </c>
    </row>
    <row r="1277" spans="1:7" x14ac:dyDescent="0.25">
      <c r="A1277" s="8">
        <v>45107</v>
      </c>
      <c r="B1277" s="9" t="s">
        <v>1292</v>
      </c>
      <c r="C1277" s="9" t="s">
        <v>27</v>
      </c>
      <c r="D1277" s="9">
        <v>769.01</v>
      </c>
      <c r="E1277" s="9" t="s">
        <v>7</v>
      </c>
      <c r="F1277" s="12">
        <f>YEAR(Personal_Finance_Dataset[[#This Row],[Date]])</f>
        <v>2023</v>
      </c>
      <c r="G1277">
        <f t="shared" si="19"/>
        <v>2023</v>
      </c>
    </row>
    <row r="1278" spans="1:7" x14ac:dyDescent="0.25">
      <c r="A1278" s="8">
        <v>45108</v>
      </c>
      <c r="B1278" s="9" t="s">
        <v>1293</v>
      </c>
      <c r="C1278" s="9" t="s">
        <v>6</v>
      </c>
      <c r="D1278" s="9">
        <v>953.24</v>
      </c>
      <c r="E1278" s="9" t="s">
        <v>7</v>
      </c>
      <c r="F1278" s="12">
        <f>YEAR(Personal_Finance_Dataset[[#This Row],[Date]])</f>
        <v>2023</v>
      </c>
      <c r="G1278">
        <f t="shared" si="19"/>
        <v>2023</v>
      </c>
    </row>
    <row r="1279" spans="1:7" x14ac:dyDescent="0.25">
      <c r="A1279" s="8">
        <v>45109</v>
      </c>
      <c r="B1279" s="9" t="s">
        <v>1294</v>
      </c>
      <c r="C1279" s="9" t="s">
        <v>9</v>
      </c>
      <c r="D1279" s="9">
        <v>1496.04</v>
      </c>
      <c r="E1279" s="9" t="s">
        <v>7</v>
      </c>
      <c r="F1279" s="12">
        <f>YEAR(Personal_Finance_Dataset[[#This Row],[Date]])</f>
        <v>2023</v>
      </c>
      <c r="G1279">
        <f t="shared" si="19"/>
        <v>2023</v>
      </c>
    </row>
    <row r="1280" spans="1:7" x14ac:dyDescent="0.25">
      <c r="A1280" s="8">
        <v>45110</v>
      </c>
      <c r="B1280" s="9" t="s">
        <v>1295</v>
      </c>
      <c r="C1280" s="9" t="s">
        <v>35</v>
      </c>
      <c r="D1280" s="9">
        <v>1920.67</v>
      </c>
      <c r="E1280" s="9" t="s">
        <v>7</v>
      </c>
      <c r="F1280" s="12">
        <f>YEAR(Personal_Finance_Dataset[[#This Row],[Date]])</f>
        <v>2023</v>
      </c>
      <c r="G1280">
        <f t="shared" si="19"/>
        <v>2023</v>
      </c>
    </row>
    <row r="1281" spans="1:7" x14ac:dyDescent="0.25">
      <c r="A1281" s="8">
        <v>45111</v>
      </c>
      <c r="B1281" s="9" t="s">
        <v>1296</v>
      </c>
      <c r="C1281" s="9" t="s">
        <v>20</v>
      </c>
      <c r="D1281" s="9">
        <v>591</v>
      </c>
      <c r="E1281" s="9" t="s">
        <v>14</v>
      </c>
      <c r="F1281" s="12">
        <f>YEAR(Personal_Finance_Dataset[[#This Row],[Date]])</f>
        <v>2023</v>
      </c>
      <c r="G1281">
        <f t="shared" si="19"/>
        <v>2023</v>
      </c>
    </row>
    <row r="1282" spans="1:7" x14ac:dyDescent="0.25">
      <c r="A1282" s="8">
        <v>45112</v>
      </c>
      <c r="B1282" s="9" t="s">
        <v>1297</v>
      </c>
      <c r="C1282" s="9" t="s">
        <v>9</v>
      </c>
      <c r="D1282" s="9">
        <v>255.24</v>
      </c>
      <c r="E1282" s="9" t="s">
        <v>7</v>
      </c>
      <c r="F1282" s="12">
        <f>YEAR(Personal_Finance_Dataset[[#This Row],[Date]])</f>
        <v>2023</v>
      </c>
      <c r="G1282">
        <f t="shared" ref="G1282:G1345" si="20">YEAR(A1282)</f>
        <v>2023</v>
      </c>
    </row>
    <row r="1283" spans="1:7" x14ac:dyDescent="0.25">
      <c r="A1283" s="8">
        <v>45113</v>
      </c>
      <c r="B1283" s="9" t="s">
        <v>1298</v>
      </c>
      <c r="C1283" s="9" t="s">
        <v>20</v>
      </c>
      <c r="D1283" s="9">
        <v>4900</v>
      </c>
      <c r="E1283" s="9" t="s">
        <v>14</v>
      </c>
      <c r="F1283" s="12">
        <f>YEAR(Personal_Finance_Dataset[[#This Row],[Date]])</f>
        <v>2023</v>
      </c>
      <c r="G1283">
        <f t="shared" si="20"/>
        <v>2023</v>
      </c>
    </row>
    <row r="1284" spans="1:7" x14ac:dyDescent="0.25">
      <c r="A1284" s="8">
        <v>45114</v>
      </c>
      <c r="B1284" s="9" t="s">
        <v>1299</v>
      </c>
      <c r="C1284" s="9" t="s">
        <v>11</v>
      </c>
      <c r="D1284" s="9">
        <v>616.34</v>
      </c>
      <c r="E1284" s="9" t="s">
        <v>7</v>
      </c>
      <c r="F1284" s="12">
        <f>YEAR(Personal_Finance_Dataset[[#This Row],[Date]])</f>
        <v>2023</v>
      </c>
      <c r="G1284">
        <f t="shared" si="20"/>
        <v>2023</v>
      </c>
    </row>
    <row r="1285" spans="1:7" x14ac:dyDescent="0.25">
      <c r="A1285" s="8">
        <v>45115</v>
      </c>
      <c r="B1285" s="9" t="s">
        <v>1300</v>
      </c>
      <c r="C1285" s="9" t="s">
        <v>25</v>
      </c>
      <c r="D1285" s="9">
        <v>431.36</v>
      </c>
      <c r="E1285" s="9" t="s">
        <v>7</v>
      </c>
      <c r="F1285" s="12">
        <f>YEAR(Personal_Finance_Dataset[[#This Row],[Date]])</f>
        <v>2023</v>
      </c>
      <c r="G1285">
        <f t="shared" si="20"/>
        <v>2023</v>
      </c>
    </row>
    <row r="1286" spans="1:7" x14ac:dyDescent="0.25">
      <c r="A1286" s="8">
        <v>45116</v>
      </c>
      <c r="B1286" s="9" t="s">
        <v>1301</v>
      </c>
      <c r="C1286" s="9" t="s">
        <v>9</v>
      </c>
      <c r="D1286" s="9">
        <v>330.3</v>
      </c>
      <c r="E1286" s="9" t="s">
        <v>7</v>
      </c>
      <c r="F1286" s="12">
        <f>YEAR(Personal_Finance_Dataset[[#This Row],[Date]])</f>
        <v>2023</v>
      </c>
      <c r="G1286">
        <f t="shared" si="20"/>
        <v>2023</v>
      </c>
    </row>
    <row r="1287" spans="1:7" x14ac:dyDescent="0.25">
      <c r="A1287" s="8">
        <v>45117</v>
      </c>
      <c r="B1287" s="9" t="s">
        <v>1302</v>
      </c>
      <c r="C1287" s="9" t="s">
        <v>35</v>
      </c>
      <c r="D1287" s="9">
        <v>396.71</v>
      </c>
      <c r="E1287" s="9" t="s">
        <v>7</v>
      </c>
      <c r="F1287" s="12">
        <f>YEAR(Personal_Finance_Dataset[[#This Row],[Date]])</f>
        <v>2023</v>
      </c>
      <c r="G1287">
        <f t="shared" si="20"/>
        <v>2023</v>
      </c>
    </row>
    <row r="1288" spans="1:7" x14ac:dyDescent="0.25">
      <c r="A1288" s="8">
        <v>45118</v>
      </c>
      <c r="B1288" s="9" t="s">
        <v>1303</v>
      </c>
      <c r="C1288" s="9" t="s">
        <v>13</v>
      </c>
      <c r="D1288" s="9">
        <v>4996</v>
      </c>
      <c r="E1288" s="9" t="s">
        <v>14</v>
      </c>
      <c r="F1288" s="12">
        <f>YEAR(Personal_Finance_Dataset[[#This Row],[Date]])</f>
        <v>2023</v>
      </c>
      <c r="G1288">
        <f t="shared" si="20"/>
        <v>2023</v>
      </c>
    </row>
    <row r="1289" spans="1:7" x14ac:dyDescent="0.25">
      <c r="A1289" s="8">
        <v>45119</v>
      </c>
      <c r="B1289" s="9" t="s">
        <v>1304</v>
      </c>
      <c r="C1289" s="9" t="s">
        <v>11</v>
      </c>
      <c r="D1289" s="9">
        <v>588.4</v>
      </c>
      <c r="E1289" s="9" t="s">
        <v>7</v>
      </c>
      <c r="F1289" s="12">
        <f>YEAR(Personal_Finance_Dataset[[#This Row],[Date]])</f>
        <v>2023</v>
      </c>
      <c r="G1289">
        <f t="shared" si="20"/>
        <v>2023</v>
      </c>
    </row>
    <row r="1290" spans="1:7" x14ac:dyDescent="0.25">
      <c r="A1290" s="8">
        <v>45120</v>
      </c>
      <c r="B1290" s="9" t="s">
        <v>1305</v>
      </c>
      <c r="C1290" s="9" t="s">
        <v>13</v>
      </c>
      <c r="D1290" s="9">
        <v>2117</v>
      </c>
      <c r="E1290" s="9" t="s">
        <v>14</v>
      </c>
      <c r="F1290" s="12">
        <f>YEAR(Personal_Finance_Dataset[[#This Row],[Date]])</f>
        <v>2023</v>
      </c>
      <c r="G1290">
        <f t="shared" si="20"/>
        <v>2023</v>
      </c>
    </row>
    <row r="1291" spans="1:7" x14ac:dyDescent="0.25">
      <c r="A1291" s="8">
        <v>45121</v>
      </c>
      <c r="B1291" s="9" t="s">
        <v>1306</v>
      </c>
      <c r="C1291" s="9" t="s">
        <v>27</v>
      </c>
      <c r="D1291" s="9">
        <v>1903.56</v>
      </c>
      <c r="E1291" s="9" t="s">
        <v>7</v>
      </c>
      <c r="F1291" s="12">
        <f>YEAR(Personal_Finance_Dataset[[#This Row],[Date]])</f>
        <v>2023</v>
      </c>
      <c r="G1291">
        <f t="shared" si="20"/>
        <v>2023</v>
      </c>
    </row>
    <row r="1292" spans="1:7" x14ac:dyDescent="0.25">
      <c r="A1292" s="8">
        <v>45122</v>
      </c>
      <c r="B1292" s="9" t="s">
        <v>1307</v>
      </c>
      <c r="C1292" s="9" t="s">
        <v>22</v>
      </c>
      <c r="D1292" s="9">
        <v>209.09</v>
      </c>
      <c r="E1292" s="9" t="s">
        <v>7</v>
      </c>
      <c r="F1292" s="12">
        <f>YEAR(Personal_Finance_Dataset[[#This Row],[Date]])</f>
        <v>2023</v>
      </c>
      <c r="G1292">
        <f t="shared" si="20"/>
        <v>2023</v>
      </c>
    </row>
    <row r="1293" spans="1:7" x14ac:dyDescent="0.25">
      <c r="A1293" s="8">
        <v>45123</v>
      </c>
      <c r="B1293" s="9" t="s">
        <v>1308</v>
      </c>
      <c r="C1293" s="9" t="s">
        <v>22</v>
      </c>
      <c r="D1293" s="9">
        <v>642.39</v>
      </c>
      <c r="E1293" s="9" t="s">
        <v>7</v>
      </c>
      <c r="F1293" s="12">
        <f>YEAR(Personal_Finance_Dataset[[#This Row],[Date]])</f>
        <v>2023</v>
      </c>
      <c r="G1293">
        <f t="shared" si="20"/>
        <v>2023</v>
      </c>
    </row>
    <row r="1294" spans="1:7" x14ac:dyDescent="0.25">
      <c r="A1294" s="8">
        <v>45124</v>
      </c>
      <c r="B1294" s="9" t="s">
        <v>1309</v>
      </c>
      <c r="C1294" s="9" t="s">
        <v>35</v>
      </c>
      <c r="D1294" s="9">
        <v>1389.98</v>
      </c>
      <c r="E1294" s="9" t="s">
        <v>7</v>
      </c>
      <c r="F1294" s="12">
        <f>YEAR(Personal_Finance_Dataset[[#This Row],[Date]])</f>
        <v>2023</v>
      </c>
      <c r="G1294">
        <f t="shared" si="20"/>
        <v>2023</v>
      </c>
    </row>
    <row r="1295" spans="1:7" x14ac:dyDescent="0.25">
      <c r="A1295" s="8">
        <v>45125</v>
      </c>
      <c r="B1295" s="9" t="s">
        <v>1310</v>
      </c>
      <c r="C1295" s="9" t="s">
        <v>20</v>
      </c>
      <c r="D1295" s="9">
        <v>3091</v>
      </c>
      <c r="E1295" s="9" t="s">
        <v>14</v>
      </c>
      <c r="F1295" s="12">
        <f>YEAR(Personal_Finance_Dataset[[#This Row],[Date]])</f>
        <v>2023</v>
      </c>
      <c r="G1295">
        <f t="shared" si="20"/>
        <v>2023</v>
      </c>
    </row>
    <row r="1296" spans="1:7" x14ac:dyDescent="0.25">
      <c r="A1296" s="8">
        <v>45126</v>
      </c>
      <c r="B1296" s="9" t="s">
        <v>1311</v>
      </c>
      <c r="C1296" s="9" t="s">
        <v>9</v>
      </c>
      <c r="D1296" s="9">
        <v>19.62</v>
      </c>
      <c r="E1296" s="9" t="s">
        <v>7</v>
      </c>
      <c r="F1296" s="12">
        <f>YEAR(Personal_Finance_Dataset[[#This Row],[Date]])</f>
        <v>2023</v>
      </c>
      <c r="G1296">
        <f t="shared" si="20"/>
        <v>2023</v>
      </c>
    </row>
    <row r="1297" spans="1:7" x14ac:dyDescent="0.25">
      <c r="A1297" s="8">
        <v>45127</v>
      </c>
      <c r="B1297" s="9" t="s">
        <v>1312</v>
      </c>
      <c r="C1297" s="9" t="s">
        <v>22</v>
      </c>
      <c r="D1297" s="9">
        <v>1427.28</v>
      </c>
      <c r="E1297" s="9" t="s">
        <v>7</v>
      </c>
      <c r="F1297" s="12">
        <f>YEAR(Personal_Finance_Dataset[[#This Row],[Date]])</f>
        <v>2023</v>
      </c>
      <c r="G1297">
        <f t="shared" si="20"/>
        <v>2023</v>
      </c>
    </row>
    <row r="1298" spans="1:7" x14ac:dyDescent="0.25">
      <c r="A1298" s="8">
        <v>45128</v>
      </c>
      <c r="B1298" s="9" t="s">
        <v>1313</v>
      </c>
      <c r="C1298" s="9" t="s">
        <v>35</v>
      </c>
      <c r="D1298" s="9">
        <v>1681.82</v>
      </c>
      <c r="E1298" s="9" t="s">
        <v>7</v>
      </c>
      <c r="F1298" s="12">
        <f>YEAR(Personal_Finance_Dataset[[#This Row],[Date]])</f>
        <v>2023</v>
      </c>
      <c r="G1298">
        <f t="shared" si="20"/>
        <v>2023</v>
      </c>
    </row>
    <row r="1299" spans="1:7" x14ac:dyDescent="0.25">
      <c r="A1299" s="8">
        <v>45129</v>
      </c>
      <c r="B1299" s="9" t="s">
        <v>1314</v>
      </c>
      <c r="C1299" s="9" t="s">
        <v>20</v>
      </c>
      <c r="D1299" s="9">
        <v>4431</v>
      </c>
      <c r="E1299" s="9" t="s">
        <v>14</v>
      </c>
      <c r="F1299" s="12">
        <f>YEAR(Personal_Finance_Dataset[[#This Row],[Date]])</f>
        <v>2023</v>
      </c>
      <c r="G1299">
        <f t="shared" si="20"/>
        <v>2023</v>
      </c>
    </row>
    <row r="1300" spans="1:7" x14ac:dyDescent="0.25">
      <c r="A1300" s="8">
        <v>45130</v>
      </c>
      <c r="B1300" s="9" t="s">
        <v>1315</v>
      </c>
      <c r="C1300" s="9" t="s">
        <v>25</v>
      </c>
      <c r="D1300" s="9">
        <v>1551.79</v>
      </c>
      <c r="E1300" s="9" t="s">
        <v>7</v>
      </c>
      <c r="F1300" s="12">
        <f>YEAR(Personal_Finance_Dataset[[#This Row],[Date]])</f>
        <v>2023</v>
      </c>
      <c r="G1300">
        <f t="shared" si="20"/>
        <v>2023</v>
      </c>
    </row>
    <row r="1301" spans="1:7" x14ac:dyDescent="0.25">
      <c r="A1301" s="8">
        <v>45131</v>
      </c>
      <c r="B1301" s="9" t="s">
        <v>1316</v>
      </c>
      <c r="C1301" s="9" t="s">
        <v>11</v>
      </c>
      <c r="D1301" s="9">
        <v>359.78</v>
      </c>
      <c r="E1301" s="9" t="s">
        <v>7</v>
      </c>
      <c r="F1301" s="12">
        <f>YEAR(Personal_Finance_Dataset[[#This Row],[Date]])</f>
        <v>2023</v>
      </c>
      <c r="G1301">
        <f t="shared" si="20"/>
        <v>2023</v>
      </c>
    </row>
    <row r="1302" spans="1:7" x14ac:dyDescent="0.25">
      <c r="A1302" s="8">
        <v>45132</v>
      </c>
      <c r="B1302" s="9" t="s">
        <v>1317</v>
      </c>
      <c r="C1302" s="9" t="s">
        <v>35</v>
      </c>
      <c r="D1302" s="9">
        <v>1718.84</v>
      </c>
      <c r="E1302" s="9" t="s">
        <v>7</v>
      </c>
      <c r="F1302" s="12">
        <f>YEAR(Personal_Finance_Dataset[[#This Row],[Date]])</f>
        <v>2023</v>
      </c>
      <c r="G1302">
        <f t="shared" si="20"/>
        <v>2023</v>
      </c>
    </row>
    <row r="1303" spans="1:7" x14ac:dyDescent="0.25">
      <c r="A1303" s="8">
        <v>45133</v>
      </c>
      <c r="B1303" s="9" t="s">
        <v>1318</v>
      </c>
      <c r="C1303" s="9" t="s">
        <v>13</v>
      </c>
      <c r="D1303" s="9">
        <v>2656</v>
      </c>
      <c r="E1303" s="9" t="s">
        <v>14</v>
      </c>
      <c r="F1303" s="12">
        <f>YEAR(Personal_Finance_Dataset[[#This Row],[Date]])</f>
        <v>2023</v>
      </c>
      <c r="G1303">
        <f t="shared" si="20"/>
        <v>2023</v>
      </c>
    </row>
    <row r="1304" spans="1:7" x14ac:dyDescent="0.25">
      <c r="A1304" s="8">
        <v>45134</v>
      </c>
      <c r="B1304" s="9" t="s">
        <v>1319</v>
      </c>
      <c r="C1304" s="9" t="s">
        <v>11</v>
      </c>
      <c r="D1304" s="9">
        <v>1457.58</v>
      </c>
      <c r="E1304" s="9" t="s">
        <v>7</v>
      </c>
      <c r="F1304" s="12">
        <f>YEAR(Personal_Finance_Dataset[[#This Row],[Date]])</f>
        <v>2023</v>
      </c>
      <c r="G1304">
        <f t="shared" si="20"/>
        <v>2023</v>
      </c>
    </row>
    <row r="1305" spans="1:7" x14ac:dyDescent="0.25">
      <c r="A1305" s="8">
        <v>45135</v>
      </c>
      <c r="B1305" s="9" t="s">
        <v>1320</v>
      </c>
      <c r="C1305" s="9" t="s">
        <v>6</v>
      </c>
      <c r="D1305" s="9">
        <v>1627.16</v>
      </c>
      <c r="E1305" s="9" t="s">
        <v>7</v>
      </c>
      <c r="F1305" s="12">
        <f>YEAR(Personal_Finance_Dataset[[#This Row],[Date]])</f>
        <v>2023</v>
      </c>
      <c r="G1305">
        <f t="shared" si="20"/>
        <v>2023</v>
      </c>
    </row>
    <row r="1306" spans="1:7" x14ac:dyDescent="0.25">
      <c r="A1306" s="8">
        <v>45136</v>
      </c>
      <c r="B1306" s="9" t="s">
        <v>1321</v>
      </c>
      <c r="C1306" s="9" t="s">
        <v>22</v>
      </c>
      <c r="D1306" s="9">
        <v>1813.54</v>
      </c>
      <c r="E1306" s="9" t="s">
        <v>7</v>
      </c>
      <c r="F1306" s="12">
        <f>YEAR(Personal_Finance_Dataset[[#This Row],[Date]])</f>
        <v>2023</v>
      </c>
      <c r="G1306">
        <f t="shared" si="20"/>
        <v>2023</v>
      </c>
    </row>
    <row r="1307" spans="1:7" x14ac:dyDescent="0.25">
      <c r="A1307" s="8">
        <v>45137</v>
      </c>
      <c r="B1307" s="9" t="s">
        <v>1322</v>
      </c>
      <c r="C1307" s="9" t="s">
        <v>27</v>
      </c>
      <c r="D1307" s="9">
        <v>1311.28</v>
      </c>
      <c r="E1307" s="9" t="s">
        <v>7</v>
      </c>
      <c r="F1307" s="12">
        <f>YEAR(Personal_Finance_Dataset[[#This Row],[Date]])</f>
        <v>2023</v>
      </c>
      <c r="G1307">
        <f t="shared" si="20"/>
        <v>2023</v>
      </c>
    </row>
    <row r="1308" spans="1:7" x14ac:dyDescent="0.25">
      <c r="A1308" s="8">
        <v>45138</v>
      </c>
      <c r="B1308" s="9" t="s">
        <v>1323</v>
      </c>
      <c r="C1308" s="9" t="s">
        <v>20</v>
      </c>
      <c r="D1308" s="9">
        <v>2329</v>
      </c>
      <c r="E1308" s="9" t="s">
        <v>14</v>
      </c>
      <c r="F1308" s="12">
        <f>YEAR(Personal_Finance_Dataset[[#This Row],[Date]])</f>
        <v>2023</v>
      </c>
      <c r="G1308">
        <f t="shared" si="20"/>
        <v>2023</v>
      </c>
    </row>
    <row r="1309" spans="1:7" x14ac:dyDescent="0.25">
      <c r="A1309" s="8">
        <v>45139</v>
      </c>
      <c r="B1309" s="9" t="s">
        <v>1324</v>
      </c>
      <c r="C1309" s="9" t="s">
        <v>35</v>
      </c>
      <c r="D1309" s="9">
        <v>276.42</v>
      </c>
      <c r="E1309" s="9" t="s">
        <v>7</v>
      </c>
      <c r="F1309" s="12">
        <f>YEAR(Personal_Finance_Dataset[[#This Row],[Date]])</f>
        <v>2023</v>
      </c>
      <c r="G1309">
        <f t="shared" si="20"/>
        <v>2023</v>
      </c>
    </row>
    <row r="1310" spans="1:7" x14ac:dyDescent="0.25">
      <c r="A1310" s="8">
        <v>45140</v>
      </c>
      <c r="B1310" s="9" t="s">
        <v>1325</v>
      </c>
      <c r="C1310" s="9" t="s">
        <v>11</v>
      </c>
      <c r="D1310" s="9">
        <v>799.6</v>
      </c>
      <c r="E1310" s="9" t="s">
        <v>7</v>
      </c>
      <c r="F1310" s="12">
        <f>YEAR(Personal_Finance_Dataset[[#This Row],[Date]])</f>
        <v>2023</v>
      </c>
      <c r="G1310">
        <f t="shared" si="20"/>
        <v>2023</v>
      </c>
    </row>
    <row r="1311" spans="1:7" x14ac:dyDescent="0.25">
      <c r="A1311" s="8">
        <v>45141</v>
      </c>
      <c r="B1311" s="9" t="s">
        <v>1326</v>
      </c>
      <c r="C1311" s="9" t="s">
        <v>22</v>
      </c>
      <c r="D1311" s="9">
        <v>1697.48</v>
      </c>
      <c r="E1311" s="9" t="s">
        <v>7</v>
      </c>
      <c r="F1311" s="12">
        <f>YEAR(Personal_Finance_Dataset[[#This Row],[Date]])</f>
        <v>2023</v>
      </c>
      <c r="G1311">
        <f t="shared" si="20"/>
        <v>2023</v>
      </c>
    </row>
    <row r="1312" spans="1:7" x14ac:dyDescent="0.25">
      <c r="A1312" s="8">
        <v>45142</v>
      </c>
      <c r="B1312" s="9" t="s">
        <v>1327</v>
      </c>
      <c r="C1312" s="9" t="s">
        <v>9</v>
      </c>
      <c r="D1312" s="9">
        <v>1516.84</v>
      </c>
      <c r="E1312" s="9" t="s">
        <v>7</v>
      </c>
      <c r="F1312" s="12">
        <f>YEAR(Personal_Finance_Dataset[[#This Row],[Date]])</f>
        <v>2023</v>
      </c>
      <c r="G1312">
        <f t="shared" si="20"/>
        <v>2023</v>
      </c>
    </row>
    <row r="1313" spans="1:7" x14ac:dyDescent="0.25">
      <c r="A1313" s="8">
        <v>45143</v>
      </c>
      <c r="B1313" s="9" t="s">
        <v>1328</v>
      </c>
      <c r="C1313" s="9" t="s">
        <v>13</v>
      </c>
      <c r="D1313" s="9">
        <v>1967</v>
      </c>
      <c r="E1313" s="9" t="s">
        <v>14</v>
      </c>
      <c r="F1313" s="12">
        <f>YEAR(Personal_Finance_Dataset[[#This Row],[Date]])</f>
        <v>2023</v>
      </c>
      <c r="G1313">
        <f t="shared" si="20"/>
        <v>2023</v>
      </c>
    </row>
    <row r="1314" spans="1:7" x14ac:dyDescent="0.25">
      <c r="A1314" s="8">
        <v>45144</v>
      </c>
      <c r="B1314" s="9" t="s">
        <v>1329</v>
      </c>
      <c r="C1314" s="9" t="s">
        <v>9</v>
      </c>
      <c r="D1314" s="9">
        <v>1474.48</v>
      </c>
      <c r="E1314" s="9" t="s">
        <v>7</v>
      </c>
      <c r="F1314" s="12">
        <f>YEAR(Personal_Finance_Dataset[[#This Row],[Date]])</f>
        <v>2023</v>
      </c>
      <c r="G1314">
        <f t="shared" si="20"/>
        <v>2023</v>
      </c>
    </row>
    <row r="1315" spans="1:7" x14ac:dyDescent="0.25">
      <c r="A1315" s="8">
        <v>45145</v>
      </c>
      <c r="B1315" s="9" t="s">
        <v>1330</v>
      </c>
      <c r="C1315" s="9" t="s">
        <v>25</v>
      </c>
      <c r="D1315" s="9">
        <v>90.44</v>
      </c>
      <c r="E1315" s="9" t="s">
        <v>7</v>
      </c>
      <c r="F1315" s="12">
        <f>YEAR(Personal_Finance_Dataset[[#This Row],[Date]])</f>
        <v>2023</v>
      </c>
      <c r="G1315">
        <f t="shared" si="20"/>
        <v>2023</v>
      </c>
    </row>
    <row r="1316" spans="1:7" x14ac:dyDescent="0.25">
      <c r="A1316" s="8">
        <v>45146</v>
      </c>
      <c r="B1316" s="9" t="s">
        <v>1331</v>
      </c>
      <c r="C1316" s="9" t="s">
        <v>22</v>
      </c>
      <c r="D1316" s="9">
        <v>135.09</v>
      </c>
      <c r="E1316" s="9" t="s">
        <v>7</v>
      </c>
      <c r="F1316" s="12">
        <f>YEAR(Personal_Finance_Dataset[[#This Row],[Date]])</f>
        <v>2023</v>
      </c>
      <c r="G1316">
        <f t="shared" si="20"/>
        <v>2023</v>
      </c>
    </row>
    <row r="1317" spans="1:7" x14ac:dyDescent="0.25">
      <c r="A1317" s="8">
        <v>45147</v>
      </c>
      <c r="B1317" s="9" t="s">
        <v>1332</v>
      </c>
      <c r="C1317" s="9" t="s">
        <v>6</v>
      </c>
      <c r="D1317" s="9">
        <v>1340.49</v>
      </c>
      <c r="E1317" s="9" t="s">
        <v>7</v>
      </c>
      <c r="F1317" s="12">
        <f>YEAR(Personal_Finance_Dataset[[#This Row],[Date]])</f>
        <v>2023</v>
      </c>
      <c r="G1317">
        <f t="shared" si="20"/>
        <v>2023</v>
      </c>
    </row>
    <row r="1318" spans="1:7" x14ac:dyDescent="0.25">
      <c r="A1318" s="8">
        <v>45148</v>
      </c>
      <c r="B1318" s="9" t="s">
        <v>1333</v>
      </c>
      <c r="C1318" s="9" t="s">
        <v>25</v>
      </c>
      <c r="D1318" s="9">
        <v>782.31</v>
      </c>
      <c r="E1318" s="9" t="s">
        <v>7</v>
      </c>
      <c r="F1318" s="12">
        <f>YEAR(Personal_Finance_Dataset[[#This Row],[Date]])</f>
        <v>2023</v>
      </c>
      <c r="G1318">
        <f t="shared" si="20"/>
        <v>2023</v>
      </c>
    </row>
    <row r="1319" spans="1:7" x14ac:dyDescent="0.25">
      <c r="A1319" s="8">
        <v>45149</v>
      </c>
      <c r="B1319" s="9" t="s">
        <v>1334</v>
      </c>
      <c r="C1319" s="9" t="s">
        <v>6</v>
      </c>
      <c r="D1319" s="9">
        <v>89.41</v>
      </c>
      <c r="E1319" s="9" t="s">
        <v>7</v>
      </c>
      <c r="F1319" s="12">
        <f>YEAR(Personal_Finance_Dataset[[#This Row],[Date]])</f>
        <v>2023</v>
      </c>
      <c r="G1319">
        <f t="shared" si="20"/>
        <v>2023</v>
      </c>
    </row>
    <row r="1320" spans="1:7" x14ac:dyDescent="0.25">
      <c r="A1320" s="8">
        <v>45150</v>
      </c>
      <c r="B1320" s="9" t="s">
        <v>1335</v>
      </c>
      <c r="C1320" s="9" t="s">
        <v>11</v>
      </c>
      <c r="D1320" s="9">
        <v>1410.44</v>
      </c>
      <c r="E1320" s="9" t="s">
        <v>7</v>
      </c>
      <c r="F1320" s="12">
        <f>YEAR(Personal_Finance_Dataset[[#This Row],[Date]])</f>
        <v>2023</v>
      </c>
      <c r="G1320">
        <f t="shared" si="20"/>
        <v>2023</v>
      </c>
    </row>
    <row r="1321" spans="1:7" x14ac:dyDescent="0.25">
      <c r="A1321" s="8">
        <v>45151</v>
      </c>
      <c r="B1321" s="9" t="s">
        <v>1336</v>
      </c>
      <c r="C1321" s="9" t="s">
        <v>35</v>
      </c>
      <c r="D1321" s="9">
        <v>1671.4</v>
      </c>
      <c r="E1321" s="9" t="s">
        <v>7</v>
      </c>
      <c r="F1321" s="12">
        <f>YEAR(Personal_Finance_Dataset[[#This Row],[Date]])</f>
        <v>2023</v>
      </c>
      <c r="G1321">
        <f t="shared" si="20"/>
        <v>2023</v>
      </c>
    </row>
    <row r="1322" spans="1:7" x14ac:dyDescent="0.25">
      <c r="A1322" s="8">
        <v>45152</v>
      </c>
      <c r="B1322" s="9" t="s">
        <v>1337</v>
      </c>
      <c r="C1322" s="9" t="s">
        <v>9</v>
      </c>
      <c r="D1322" s="9">
        <v>759.55</v>
      </c>
      <c r="E1322" s="9" t="s">
        <v>7</v>
      </c>
      <c r="F1322" s="12">
        <f>YEAR(Personal_Finance_Dataset[[#This Row],[Date]])</f>
        <v>2023</v>
      </c>
      <c r="G1322">
        <f t="shared" si="20"/>
        <v>2023</v>
      </c>
    </row>
    <row r="1323" spans="1:7" x14ac:dyDescent="0.25">
      <c r="A1323" s="8">
        <v>45153</v>
      </c>
      <c r="B1323" s="9" t="s">
        <v>1338</v>
      </c>
      <c r="C1323" s="9" t="s">
        <v>11</v>
      </c>
      <c r="D1323" s="9">
        <v>1038.1600000000001</v>
      </c>
      <c r="E1323" s="9" t="s">
        <v>7</v>
      </c>
      <c r="F1323" s="12">
        <f>YEAR(Personal_Finance_Dataset[[#This Row],[Date]])</f>
        <v>2023</v>
      </c>
      <c r="G1323">
        <f t="shared" si="20"/>
        <v>2023</v>
      </c>
    </row>
    <row r="1324" spans="1:7" x14ac:dyDescent="0.25">
      <c r="A1324" s="8">
        <v>45154</v>
      </c>
      <c r="B1324" s="9" t="s">
        <v>1339</v>
      </c>
      <c r="C1324" s="9" t="s">
        <v>22</v>
      </c>
      <c r="D1324" s="9">
        <v>1037.58</v>
      </c>
      <c r="E1324" s="9" t="s">
        <v>7</v>
      </c>
      <c r="F1324" s="12">
        <f>YEAR(Personal_Finance_Dataset[[#This Row],[Date]])</f>
        <v>2023</v>
      </c>
      <c r="G1324">
        <f t="shared" si="20"/>
        <v>2023</v>
      </c>
    </row>
    <row r="1325" spans="1:7" x14ac:dyDescent="0.25">
      <c r="A1325" s="8">
        <v>45155</v>
      </c>
      <c r="B1325" s="9" t="s">
        <v>1340</v>
      </c>
      <c r="C1325" s="9" t="s">
        <v>25</v>
      </c>
      <c r="D1325" s="9">
        <v>978.85</v>
      </c>
      <c r="E1325" s="9" t="s">
        <v>7</v>
      </c>
      <c r="F1325" s="12">
        <f>YEAR(Personal_Finance_Dataset[[#This Row],[Date]])</f>
        <v>2023</v>
      </c>
      <c r="G1325">
        <f t="shared" si="20"/>
        <v>2023</v>
      </c>
    </row>
    <row r="1326" spans="1:7" x14ac:dyDescent="0.25">
      <c r="A1326" s="8">
        <v>45156</v>
      </c>
      <c r="B1326" s="9" t="s">
        <v>1341</v>
      </c>
      <c r="C1326" s="9" t="s">
        <v>6</v>
      </c>
      <c r="D1326" s="9">
        <v>1008.66</v>
      </c>
      <c r="E1326" s="9" t="s">
        <v>7</v>
      </c>
      <c r="F1326" s="12">
        <f>YEAR(Personal_Finance_Dataset[[#This Row],[Date]])</f>
        <v>2023</v>
      </c>
      <c r="G1326">
        <f t="shared" si="20"/>
        <v>2023</v>
      </c>
    </row>
    <row r="1327" spans="1:7" x14ac:dyDescent="0.25">
      <c r="A1327" s="8">
        <v>45157</v>
      </c>
      <c r="B1327" s="9" t="s">
        <v>1342</v>
      </c>
      <c r="C1327" s="9" t="s">
        <v>13</v>
      </c>
      <c r="D1327" s="9">
        <v>2384</v>
      </c>
      <c r="E1327" s="9" t="s">
        <v>14</v>
      </c>
      <c r="F1327" s="12">
        <f>YEAR(Personal_Finance_Dataset[[#This Row],[Date]])</f>
        <v>2023</v>
      </c>
      <c r="G1327">
        <f t="shared" si="20"/>
        <v>2023</v>
      </c>
    </row>
    <row r="1328" spans="1:7" x14ac:dyDescent="0.25">
      <c r="A1328" s="8">
        <v>45158</v>
      </c>
      <c r="B1328" s="9" t="s">
        <v>1343</v>
      </c>
      <c r="C1328" s="9" t="s">
        <v>20</v>
      </c>
      <c r="D1328" s="9">
        <v>2232</v>
      </c>
      <c r="E1328" s="9" t="s">
        <v>14</v>
      </c>
      <c r="F1328" s="12">
        <f>YEAR(Personal_Finance_Dataset[[#This Row],[Date]])</f>
        <v>2023</v>
      </c>
      <c r="G1328">
        <f t="shared" si="20"/>
        <v>2023</v>
      </c>
    </row>
    <row r="1329" spans="1:7" x14ac:dyDescent="0.25">
      <c r="A1329" s="8">
        <v>45159</v>
      </c>
      <c r="B1329" s="9" t="s">
        <v>1344</v>
      </c>
      <c r="C1329" s="9" t="s">
        <v>13</v>
      </c>
      <c r="D1329" s="9">
        <v>3467</v>
      </c>
      <c r="E1329" s="9" t="s">
        <v>14</v>
      </c>
      <c r="F1329" s="12">
        <f>YEAR(Personal_Finance_Dataset[[#This Row],[Date]])</f>
        <v>2023</v>
      </c>
      <c r="G1329">
        <f t="shared" si="20"/>
        <v>2023</v>
      </c>
    </row>
    <row r="1330" spans="1:7" x14ac:dyDescent="0.25">
      <c r="A1330" s="8">
        <v>45160</v>
      </c>
      <c r="B1330" s="9" t="s">
        <v>1345</v>
      </c>
      <c r="C1330" s="9" t="s">
        <v>11</v>
      </c>
      <c r="D1330" s="9">
        <v>1325.61</v>
      </c>
      <c r="E1330" s="9" t="s">
        <v>7</v>
      </c>
      <c r="F1330" s="12">
        <f>YEAR(Personal_Finance_Dataset[[#This Row],[Date]])</f>
        <v>2023</v>
      </c>
      <c r="G1330">
        <f t="shared" si="20"/>
        <v>2023</v>
      </c>
    </row>
    <row r="1331" spans="1:7" x14ac:dyDescent="0.25">
      <c r="A1331" s="8">
        <v>45161</v>
      </c>
      <c r="B1331" s="9" t="s">
        <v>1346</v>
      </c>
      <c r="C1331" s="9" t="s">
        <v>25</v>
      </c>
      <c r="D1331" s="9">
        <v>1443.31</v>
      </c>
      <c r="E1331" s="9" t="s">
        <v>7</v>
      </c>
      <c r="F1331" s="12">
        <f>YEAR(Personal_Finance_Dataset[[#This Row],[Date]])</f>
        <v>2023</v>
      </c>
      <c r="G1331">
        <f t="shared" si="20"/>
        <v>2023</v>
      </c>
    </row>
    <row r="1332" spans="1:7" x14ac:dyDescent="0.25">
      <c r="A1332" s="8">
        <v>45162</v>
      </c>
      <c r="B1332" s="9" t="s">
        <v>1347</v>
      </c>
      <c r="C1332" s="9" t="s">
        <v>27</v>
      </c>
      <c r="D1332" s="9">
        <v>963.25</v>
      </c>
      <c r="E1332" s="9" t="s">
        <v>7</v>
      </c>
      <c r="F1332" s="12">
        <f>YEAR(Personal_Finance_Dataset[[#This Row],[Date]])</f>
        <v>2023</v>
      </c>
      <c r="G1332">
        <f t="shared" si="20"/>
        <v>2023</v>
      </c>
    </row>
    <row r="1333" spans="1:7" x14ac:dyDescent="0.25">
      <c r="A1333" s="8">
        <v>45163</v>
      </c>
      <c r="B1333" s="9" t="s">
        <v>1348</v>
      </c>
      <c r="C1333" s="9" t="s">
        <v>17</v>
      </c>
      <c r="D1333" s="9">
        <v>54.67</v>
      </c>
      <c r="E1333" s="9" t="s">
        <v>7</v>
      </c>
      <c r="F1333" s="12">
        <f>YEAR(Personal_Finance_Dataset[[#This Row],[Date]])</f>
        <v>2023</v>
      </c>
      <c r="G1333">
        <f t="shared" si="20"/>
        <v>2023</v>
      </c>
    </row>
    <row r="1334" spans="1:7" x14ac:dyDescent="0.25">
      <c r="A1334" s="8">
        <v>45164</v>
      </c>
      <c r="B1334" s="9" t="s">
        <v>1349</v>
      </c>
      <c r="C1334" s="9" t="s">
        <v>13</v>
      </c>
      <c r="D1334" s="9">
        <v>1603</v>
      </c>
      <c r="E1334" s="9" t="s">
        <v>14</v>
      </c>
      <c r="F1334" s="12">
        <f>YEAR(Personal_Finance_Dataset[[#This Row],[Date]])</f>
        <v>2023</v>
      </c>
      <c r="G1334">
        <f t="shared" si="20"/>
        <v>2023</v>
      </c>
    </row>
    <row r="1335" spans="1:7" x14ac:dyDescent="0.25">
      <c r="A1335" s="8">
        <v>45165</v>
      </c>
      <c r="B1335" s="9" t="s">
        <v>1350</v>
      </c>
      <c r="C1335" s="9" t="s">
        <v>6</v>
      </c>
      <c r="D1335" s="9">
        <v>1782.69</v>
      </c>
      <c r="E1335" s="9" t="s">
        <v>7</v>
      </c>
      <c r="F1335" s="12">
        <f>YEAR(Personal_Finance_Dataset[[#This Row],[Date]])</f>
        <v>2023</v>
      </c>
      <c r="G1335">
        <f t="shared" si="20"/>
        <v>2023</v>
      </c>
    </row>
    <row r="1336" spans="1:7" x14ac:dyDescent="0.25">
      <c r="A1336" s="8">
        <v>45166</v>
      </c>
      <c r="B1336" s="9" t="s">
        <v>1351</v>
      </c>
      <c r="C1336" s="9" t="s">
        <v>13</v>
      </c>
      <c r="D1336" s="9">
        <v>2615</v>
      </c>
      <c r="E1336" s="9" t="s">
        <v>14</v>
      </c>
      <c r="F1336" s="12">
        <f>YEAR(Personal_Finance_Dataset[[#This Row],[Date]])</f>
        <v>2023</v>
      </c>
      <c r="G1336">
        <f t="shared" si="20"/>
        <v>2023</v>
      </c>
    </row>
    <row r="1337" spans="1:7" x14ac:dyDescent="0.25">
      <c r="A1337" s="8">
        <v>45167</v>
      </c>
      <c r="B1337" s="9" t="s">
        <v>1352</v>
      </c>
      <c r="C1337" s="9" t="s">
        <v>17</v>
      </c>
      <c r="D1337" s="9">
        <v>1202.72</v>
      </c>
      <c r="E1337" s="9" t="s">
        <v>7</v>
      </c>
      <c r="F1337" s="12">
        <f>YEAR(Personal_Finance_Dataset[[#This Row],[Date]])</f>
        <v>2023</v>
      </c>
      <c r="G1337">
        <f t="shared" si="20"/>
        <v>2023</v>
      </c>
    </row>
    <row r="1338" spans="1:7" x14ac:dyDescent="0.25">
      <c r="A1338" s="8">
        <v>45168</v>
      </c>
      <c r="B1338" s="9" t="s">
        <v>1353</v>
      </c>
      <c r="C1338" s="9" t="s">
        <v>6</v>
      </c>
      <c r="D1338" s="9">
        <v>1758.23</v>
      </c>
      <c r="E1338" s="9" t="s">
        <v>7</v>
      </c>
      <c r="F1338" s="12">
        <f>YEAR(Personal_Finance_Dataset[[#This Row],[Date]])</f>
        <v>2023</v>
      </c>
      <c r="G1338">
        <f t="shared" si="20"/>
        <v>2023</v>
      </c>
    </row>
    <row r="1339" spans="1:7" x14ac:dyDescent="0.25">
      <c r="A1339" s="8">
        <v>45169</v>
      </c>
      <c r="B1339" s="9" t="s">
        <v>1354</v>
      </c>
      <c r="C1339" s="9" t="s">
        <v>35</v>
      </c>
      <c r="D1339" s="9">
        <v>1895.04</v>
      </c>
      <c r="E1339" s="9" t="s">
        <v>7</v>
      </c>
      <c r="F1339" s="12">
        <f>YEAR(Personal_Finance_Dataset[[#This Row],[Date]])</f>
        <v>2023</v>
      </c>
      <c r="G1339">
        <f t="shared" si="20"/>
        <v>2023</v>
      </c>
    </row>
    <row r="1340" spans="1:7" x14ac:dyDescent="0.25">
      <c r="A1340" s="8">
        <v>45170</v>
      </c>
      <c r="B1340" s="9" t="s">
        <v>1355</v>
      </c>
      <c r="C1340" s="9" t="s">
        <v>27</v>
      </c>
      <c r="D1340" s="9">
        <v>1735.93</v>
      </c>
      <c r="E1340" s="9" t="s">
        <v>7</v>
      </c>
      <c r="F1340" s="12">
        <f>YEAR(Personal_Finance_Dataset[[#This Row],[Date]])</f>
        <v>2023</v>
      </c>
      <c r="G1340">
        <f t="shared" si="20"/>
        <v>2023</v>
      </c>
    </row>
    <row r="1341" spans="1:7" x14ac:dyDescent="0.25">
      <c r="A1341" s="8">
        <v>45171</v>
      </c>
      <c r="B1341" s="9" t="s">
        <v>1356</v>
      </c>
      <c r="C1341" s="9" t="s">
        <v>20</v>
      </c>
      <c r="D1341" s="9">
        <v>1669</v>
      </c>
      <c r="E1341" s="9" t="s">
        <v>14</v>
      </c>
      <c r="F1341" s="12">
        <f>YEAR(Personal_Finance_Dataset[[#This Row],[Date]])</f>
        <v>2023</v>
      </c>
      <c r="G1341">
        <f t="shared" si="20"/>
        <v>2023</v>
      </c>
    </row>
    <row r="1342" spans="1:7" x14ac:dyDescent="0.25">
      <c r="A1342" s="8">
        <v>45172</v>
      </c>
      <c r="B1342" s="9" t="s">
        <v>1357</v>
      </c>
      <c r="C1342" s="9" t="s">
        <v>9</v>
      </c>
      <c r="D1342" s="9">
        <v>1250.19</v>
      </c>
      <c r="E1342" s="9" t="s">
        <v>7</v>
      </c>
      <c r="F1342" s="12">
        <f>YEAR(Personal_Finance_Dataset[[#This Row],[Date]])</f>
        <v>2023</v>
      </c>
      <c r="G1342">
        <f t="shared" si="20"/>
        <v>2023</v>
      </c>
    </row>
    <row r="1343" spans="1:7" x14ac:dyDescent="0.25">
      <c r="A1343" s="8">
        <v>45173</v>
      </c>
      <c r="B1343" s="9" t="s">
        <v>1358</v>
      </c>
      <c r="C1343" s="9" t="s">
        <v>9</v>
      </c>
      <c r="D1343" s="9">
        <v>1451.13</v>
      </c>
      <c r="E1343" s="9" t="s">
        <v>7</v>
      </c>
      <c r="F1343" s="12">
        <f>YEAR(Personal_Finance_Dataset[[#This Row],[Date]])</f>
        <v>2023</v>
      </c>
      <c r="G1343">
        <f t="shared" si="20"/>
        <v>2023</v>
      </c>
    </row>
    <row r="1344" spans="1:7" x14ac:dyDescent="0.25">
      <c r="A1344" s="8">
        <v>45174</v>
      </c>
      <c r="B1344" s="9" t="s">
        <v>1359</v>
      </c>
      <c r="C1344" s="9" t="s">
        <v>27</v>
      </c>
      <c r="D1344" s="9">
        <v>1197.0999999999999</v>
      </c>
      <c r="E1344" s="9" t="s">
        <v>7</v>
      </c>
      <c r="F1344" s="12">
        <f>YEAR(Personal_Finance_Dataset[[#This Row],[Date]])</f>
        <v>2023</v>
      </c>
      <c r="G1344">
        <f t="shared" si="20"/>
        <v>2023</v>
      </c>
    </row>
    <row r="1345" spans="1:7" x14ac:dyDescent="0.25">
      <c r="A1345" s="8">
        <v>45175</v>
      </c>
      <c r="B1345" s="9" t="s">
        <v>1360</v>
      </c>
      <c r="C1345" s="9" t="s">
        <v>20</v>
      </c>
      <c r="D1345" s="9">
        <v>3657</v>
      </c>
      <c r="E1345" s="9" t="s">
        <v>14</v>
      </c>
      <c r="F1345" s="12">
        <f>YEAR(Personal_Finance_Dataset[[#This Row],[Date]])</f>
        <v>2023</v>
      </c>
      <c r="G1345">
        <f t="shared" si="20"/>
        <v>2023</v>
      </c>
    </row>
    <row r="1346" spans="1:7" x14ac:dyDescent="0.25">
      <c r="A1346" s="8">
        <v>45176</v>
      </c>
      <c r="B1346" s="9" t="s">
        <v>1361</v>
      </c>
      <c r="C1346" s="9" t="s">
        <v>13</v>
      </c>
      <c r="D1346" s="9">
        <v>2157</v>
      </c>
      <c r="E1346" s="9" t="s">
        <v>14</v>
      </c>
      <c r="F1346" s="12">
        <f>YEAR(Personal_Finance_Dataset[[#This Row],[Date]])</f>
        <v>2023</v>
      </c>
      <c r="G1346">
        <f t="shared" ref="G1346:G1409" si="21">YEAR(A1346)</f>
        <v>2023</v>
      </c>
    </row>
    <row r="1347" spans="1:7" x14ac:dyDescent="0.25">
      <c r="A1347" s="8">
        <v>45177</v>
      </c>
      <c r="B1347" s="9" t="s">
        <v>1362</v>
      </c>
      <c r="C1347" s="9" t="s">
        <v>17</v>
      </c>
      <c r="D1347" s="9">
        <v>1654.76</v>
      </c>
      <c r="E1347" s="9" t="s">
        <v>7</v>
      </c>
      <c r="F1347" s="12">
        <f>YEAR(Personal_Finance_Dataset[[#This Row],[Date]])</f>
        <v>2023</v>
      </c>
      <c r="G1347">
        <f t="shared" si="21"/>
        <v>2023</v>
      </c>
    </row>
    <row r="1348" spans="1:7" x14ac:dyDescent="0.25">
      <c r="A1348" s="8">
        <v>45178</v>
      </c>
      <c r="B1348" s="9" t="s">
        <v>1363</v>
      </c>
      <c r="C1348" s="9" t="s">
        <v>9</v>
      </c>
      <c r="D1348" s="9">
        <v>956.98</v>
      </c>
      <c r="E1348" s="9" t="s">
        <v>7</v>
      </c>
      <c r="F1348" s="12">
        <f>YEAR(Personal_Finance_Dataset[[#This Row],[Date]])</f>
        <v>2023</v>
      </c>
      <c r="G1348">
        <f t="shared" si="21"/>
        <v>2023</v>
      </c>
    </row>
    <row r="1349" spans="1:7" x14ac:dyDescent="0.25">
      <c r="A1349" s="8">
        <v>45179</v>
      </c>
      <c r="B1349" s="9" t="s">
        <v>1364</v>
      </c>
      <c r="C1349" s="9" t="s">
        <v>6</v>
      </c>
      <c r="D1349" s="9">
        <v>1756.73</v>
      </c>
      <c r="E1349" s="9" t="s">
        <v>7</v>
      </c>
      <c r="F1349" s="12">
        <f>YEAR(Personal_Finance_Dataset[[#This Row],[Date]])</f>
        <v>2023</v>
      </c>
      <c r="G1349">
        <f t="shared" si="21"/>
        <v>2023</v>
      </c>
    </row>
    <row r="1350" spans="1:7" x14ac:dyDescent="0.25">
      <c r="A1350" s="8">
        <v>45180</v>
      </c>
      <c r="B1350" s="9" t="s">
        <v>1365</v>
      </c>
      <c r="C1350" s="9" t="s">
        <v>11</v>
      </c>
      <c r="D1350" s="9">
        <v>195.45</v>
      </c>
      <c r="E1350" s="9" t="s">
        <v>7</v>
      </c>
      <c r="F1350" s="12">
        <f>YEAR(Personal_Finance_Dataset[[#This Row],[Date]])</f>
        <v>2023</v>
      </c>
      <c r="G1350">
        <f t="shared" si="21"/>
        <v>2023</v>
      </c>
    </row>
    <row r="1351" spans="1:7" x14ac:dyDescent="0.25">
      <c r="A1351" s="8">
        <v>45181</v>
      </c>
      <c r="B1351" s="9" t="s">
        <v>1366</v>
      </c>
      <c r="C1351" s="9" t="s">
        <v>6</v>
      </c>
      <c r="D1351" s="9">
        <v>1794.97</v>
      </c>
      <c r="E1351" s="9" t="s">
        <v>7</v>
      </c>
      <c r="F1351" s="12">
        <f>YEAR(Personal_Finance_Dataset[[#This Row],[Date]])</f>
        <v>2023</v>
      </c>
      <c r="G1351">
        <f t="shared" si="21"/>
        <v>2023</v>
      </c>
    </row>
    <row r="1352" spans="1:7" x14ac:dyDescent="0.25">
      <c r="A1352" s="8">
        <v>45182</v>
      </c>
      <c r="B1352" s="9" t="s">
        <v>1367</v>
      </c>
      <c r="C1352" s="9" t="s">
        <v>17</v>
      </c>
      <c r="D1352" s="9">
        <v>1048.8699999999999</v>
      </c>
      <c r="E1352" s="9" t="s">
        <v>7</v>
      </c>
      <c r="F1352" s="12">
        <f>YEAR(Personal_Finance_Dataset[[#This Row],[Date]])</f>
        <v>2023</v>
      </c>
      <c r="G1352">
        <f t="shared" si="21"/>
        <v>2023</v>
      </c>
    </row>
    <row r="1353" spans="1:7" x14ac:dyDescent="0.25">
      <c r="A1353" s="8">
        <v>45183</v>
      </c>
      <c r="B1353" s="9" t="s">
        <v>1368</v>
      </c>
      <c r="C1353" s="9" t="s">
        <v>6</v>
      </c>
      <c r="D1353" s="9">
        <v>1398.31</v>
      </c>
      <c r="E1353" s="9" t="s">
        <v>7</v>
      </c>
      <c r="F1353" s="12">
        <f>YEAR(Personal_Finance_Dataset[[#This Row],[Date]])</f>
        <v>2023</v>
      </c>
      <c r="G1353">
        <f t="shared" si="21"/>
        <v>2023</v>
      </c>
    </row>
    <row r="1354" spans="1:7" x14ac:dyDescent="0.25">
      <c r="A1354" s="8">
        <v>45184</v>
      </c>
      <c r="B1354" s="9" t="s">
        <v>1369</v>
      </c>
      <c r="C1354" s="9" t="s">
        <v>27</v>
      </c>
      <c r="D1354" s="9">
        <v>1581.22</v>
      </c>
      <c r="E1354" s="9" t="s">
        <v>7</v>
      </c>
      <c r="F1354" s="12">
        <f>YEAR(Personal_Finance_Dataset[[#This Row],[Date]])</f>
        <v>2023</v>
      </c>
      <c r="G1354">
        <f t="shared" si="21"/>
        <v>2023</v>
      </c>
    </row>
    <row r="1355" spans="1:7" x14ac:dyDescent="0.25">
      <c r="A1355" s="8">
        <v>45185</v>
      </c>
      <c r="B1355" s="9" t="s">
        <v>1370</v>
      </c>
      <c r="C1355" s="9" t="s">
        <v>11</v>
      </c>
      <c r="D1355" s="9">
        <v>856.72</v>
      </c>
      <c r="E1355" s="9" t="s">
        <v>7</v>
      </c>
      <c r="F1355" s="12">
        <f>YEAR(Personal_Finance_Dataset[[#This Row],[Date]])</f>
        <v>2023</v>
      </c>
      <c r="G1355">
        <f t="shared" si="21"/>
        <v>2023</v>
      </c>
    </row>
    <row r="1356" spans="1:7" x14ac:dyDescent="0.25">
      <c r="A1356" s="8">
        <v>45186</v>
      </c>
      <c r="B1356" s="9" t="s">
        <v>1371</v>
      </c>
      <c r="C1356" s="9" t="s">
        <v>22</v>
      </c>
      <c r="D1356" s="9">
        <v>1821.07</v>
      </c>
      <c r="E1356" s="9" t="s">
        <v>7</v>
      </c>
      <c r="F1356" s="12">
        <f>YEAR(Personal_Finance_Dataset[[#This Row],[Date]])</f>
        <v>2023</v>
      </c>
      <c r="G1356">
        <f t="shared" si="21"/>
        <v>2023</v>
      </c>
    </row>
    <row r="1357" spans="1:7" x14ac:dyDescent="0.25">
      <c r="A1357" s="8">
        <v>45187</v>
      </c>
      <c r="B1357" s="9" t="s">
        <v>1372</v>
      </c>
      <c r="C1357" s="9" t="s">
        <v>20</v>
      </c>
      <c r="D1357" s="9">
        <v>2611</v>
      </c>
      <c r="E1357" s="9" t="s">
        <v>14</v>
      </c>
      <c r="F1357" s="12">
        <f>YEAR(Personal_Finance_Dataset[[#This Row],[Date]])</f>
        <v>2023</v>
      </c>
      <c r="G1357">
        <f t="shared" si="21"/>
        <v>2023</v>
      </c>
    </row>
    <row r="1358" spans="1:7" x14ac:dyDescent="0.25">
      <c r="A1358" s="8">
        <v>45188</v>
      </c>
      <c r="B1358" s="9" t="s">
        <v>1373</v>
      </c>
      <c r="C1358" s="9" t="s">
        <v>13</v>
      </c>
      <c r="D1358" s="9">
        <v>4780</v>
      </c>
      <c r="E1358" s="9" t="s">
        <v>14</v>
      </c>
      <c r="F1358" s="12">
        <f>YEAR(Personal_Finance_Dataset[[#This Row],[Date]])</f>
        <v>2023</v>
      </c>
      <c r="G1358">
        <f t="shared" si="21"/>
        <v>2023</v>
      </c>
    </row>
    <row r="1359" spans="1:7" x14ac:dyDescent="0.25">
      <c r="A1359" s="8">
        <v>45189</v>
      </c>
      <c r="B1359" s="9" t="s">
        <v>1374</v>
      </c>
      <c r="C1359" s="9" t="s">
        <v>13</v>
      </c>
      <c r="D1359" s="9">
        <v>3572</v>
      </c>
      <c r="E1359" s="9" t="s">
        <v>14</v>
      </c>
      <c r="F1359" s="12">
        <f>YEAR(Personal_Finance_Dataset[[#This Row],[Date]])</f>
        <v>2023</v>
      </c>
      <c r="G1359">
        <f t="shared" si="21"/>
        <v>2023</v>
      </c>
    </row>
    <row r="1360" spans="1:7" x14ac:dyDescent="0.25">
      <c r="A1360" s="8">
        <v>45190</v>
      </c>
      <c r="B1360" s="9" t="s">
        <v>1375</v>
      </c>
      <c r="C1360" s="9" t="s">
        <v>25</v>
      </c>
      <c r="D1360" s="9">
        <v>823.6</v>
      </c>
      <c r="E1360" s="9" t="s">
        <v>7</v>
      </c>
      <c r="F1360" s="12">
        <f>YEAR(Personal_Finance_Dataset[[#This Row],[Date]])</f>
        <v>2023</v>
      </c>
      <c r="G1360">
        <f t="shared" si="21"/>
        <v>2023</v>
      </c>
    </row>
    <row r="1361" spans="1:7" x14ac:dyDescent="0.25">
      <c r="A1361" s="8">
        <v>45191</v>
      </c>
      <c r="B1361" s="9" t="s">
        <v>1376</v>
      </c>
      <c r="C1361" s="9" t="s">
        <v>20</v>
      </c>
      <c r="D1361" s="9">
        <v>2577</v>
      </c>
      <c r="E1361" s="9" t="s">
        <v>14</v>
      </c>
      <c r="F1361" s="12">
        <f>YEAR(Personal_Finance_Dataset[[#This Row],[Date]])</f>
        <v>2023</v>
      </c>
      <c r="G1361">
        <f t="shared" si="21"/>
        <v>2023</v>
      </c>
    </row>
    <row r="1362" spans="1:7" x14ac:dyDescent="0.25">
      <c r="A1362" s="8">
        <v>45192</v>
      </c>
      <c r="B1362" s="9" t="s">
        <v>1377</v>
      </c>
      <c r="C1362" s="9" t="s">
        <v>17</v>
      </c>
      <c r="D1362" s="9">
        <v>1133.69</v>
      </c>
      <c r="E1362" s="9" t="s">
        <v>7</v>
      </c>
      <c r="F1362" s="12">
        <f>YEAR(Personal_Finance_Dataset[[#This Row],[Date]])</f>
        <v>2023</v>
      </c>
      <c r="G1362">
        <f t="shared" si="21"/>
        <v>2023</v>
      </c>
    </row>
    <row r="1363" spans="1:7" x14ac:dyDescent="0.25">
      <c r="A1363" s="8">
        <v>45193</v>
      </c>
      <c r="B1363" s="9" t="s">
        <v>1378</v>
      </c>
      <c r="C1363" s="9" t="s">
        <v>17</v>
      </c>
      <c r="D1363" s="9">
        <v>1512.39</v>
      </c>
      <c r="E1363" s="9" t="s">
        <v>7</v>
      </c>
      <c r="F1363" s="12">
        <f>YEAR(Personal_Finance_Dataset[[#This Row],[Date]])</f>
        <v>2023</v>
      </c>
      <c r="G1363">
        <f t="shared" si="21"/>
        <v>2023</v>
      </c>
    </row>
    <row r="1364" spans="1:7" x14ac:dyDescent="0.25">
      <c r="A1364" s="8">
        <v>45194</v>
      </c>
      <c r="B1364" s="9" t="s">
        <v>1379</v>
      </c>
      <c r="C1364" s="9" t="s">
        <v>27</v>
      </c>
      <c r="D1364" s="9">
        <v>365.65</v>
      </c>
      <c r="E1364" s="9" t="s">
        <v>7</v>
      </c>
      <c r="F1364" s="12">
        <f>YEAR(Personal_Finance_Dataset[[#This Row],[Date]])</f>
        <v>2023</v>
      </c>
      <c r="G1364">
        <f t="shared" si="21"/>
        <v>2023</v>
      </c>
    </row>
    <row r="1365" spans="1:7" x14ac:dyDescent="0.25">
      <c r="A1365" s="8">
        <v>45195</v>
      </c>
      <c r="B1365" s="9" t="s">
        <v>1380</v>
      </c>
      <c r="C1365" s="9" t="s">
        <v>27</v>
      </c>
      <c r="D1365" s="9">
        <v>515.02</v>
      </c>
      <c r="E1365" s="9" t="s">
        <v>7</v>
      </c>
      <c r="F1365" s="12">
        <f>YEAR(Personal_Finance_Dataset[[#This Row],[Date]])</f>
        <v>2023</v>
      </c>
      <c r="G1365">
        <f t="shared" si="21"/>
        <v>2023</v>
      </c>
    </row>
    <row r="1366" spans="1:7" x14ac:dyDescent="0.25">
      <c r="A1366" s="8">
        <v>45196</v>
      </c>
      <c r="B1366" s="9" t="s">
        <v>1381</v>
      </c>
      <c r="C1366" s="9" t="s">
        <v>25</v>
      </c>
      <c r="D1366" s="9">
        <v>1550.65</v>
      </c>
      <c r="E1366" s="9" t="s">
        <v>7</v>
      </c>
      <c r="F1366" s="12">
        <f>YEAR(Personal_Finance_Dataset[[#This Row],[Date]])</f>
        <v>2023</v>
      </c>
      <c r="G1366">
        <f t="shared" si="21"/>
        <v>2023</v>
      </c>
    </row>
    <row r="1367" spans="1:7" x14ac:dyDescent="0.25">
      <c r="A1367" s="8">
        <v>45197</v>
      </c>
      <c r="B1367" s="9" t="s">
        <v>1382</v>
      </c>
      <c r="C1367" s="9" t="s">
        <v>9</v>
      </c>
      <c r="D1367" s="9">
        <v>1711.45</v>
      </c>
      <c r="E1367" s="9" t="s">
        <v>7</v>
      </c>
      <c r="F1367" s="12">
        <f>YEAR(Personal_Finance_Dataset[[#This Row],[Date]])</f>
        <v>2023</v>
      </c>
      <c r="G1367">
        <f t="shared" si="21"/>
        <v>2023</v>
      </c>
    </row>
    <row r="1368" spans="1:7" x14ac:dyDescent="0.25">
      <c r="A1368" s="8">
        <v>45198</v>
      </c>
      <c r="B1368" s="9" t="s">
        <v>1383</v>
      </c>
      <c r="C1368" s="9" t="s">
        <v>22</v>
      </c>
      <c r="D1368" s="9">
        <v>898.72</v>
      </c>
      <c r="E1368" s="9" t="s">
        <v>7</v>
      </c>
      <c r="F1368" s="12">
        <f>YEAR(Personal_Finance_Dataset[[#This Row],[Date]])</f>
        <v>2023</v>
      </c>
      <c r="G1368">
        <f t="shared" si="21"/>
        <v>2023</v>
      </c>
    </row>
    <row r="1369" spans="1:7" x14ac:dyDescent="0.25">
      <c r="A1369" s="8">
        <v>45199</v>
      </c>
      <c r="B1369" s="9" t="s">
        <v>1384</v>
      </c>
      <c r="C1369" s="9" t="s">
        <v>9</v>
      </c>
      <c r="D1369" s="9">
        <v>209.55</v>
      </c>
      <c r="E1369" s="9" t="s">
        <v>7</v>
      </c>
      <c r="F1369" s="12">
        <f>YEAR(Personal_Finance_Dataset[[#This Row],[Date]])</f>
        <v>2023</v>
      </c>
      <c r="G1369">
        <f t="shared" si="21"/>
        <v>2023</v>
      </c>
    </row>
    <row r="1370" spans="1:7" x14ac:dyDescent="0.25">
      <c r="A1370" s="8">
        <v>45200</v>
      </c>
      <c r="B1370" s="9" t="s">
        <v>1385</v>
      </c>
      <c r="C1370" s="9" t="s">
        <v>25</v>
      </c>
      <c r="D1370" s="9">
        <v>1603.7</v>
      </c>
      <c r="E1370" s="9" t="s">
        <v>7</v>
      </c>
      <c r="F1370" s="12">
        <f>YEAR(Personal_Finance_Dataset[[#This Row],[Date]])</f>
        <v>2023</v>
      </c>
      <c r="G1370">
        <f t="shared" si="21"/>
        <v>2023</v>
      </c>
    </row>
    <row r="1371" spans="1:7" x14ac:dyDescent="0.25">
      <c r="A1371" s="8">
        <v>45201</v>
      </c>
      <c r="B1371" s="9" t="s">
        <v>1386</v>
      </c>
      <c r="C1371" s="9" t="s">
        <v>6</v>
      </c>
      <c r="D1371" s="9">
        <v>329.87</v>
      </c>
      <c r="E1371" s="9" t="s">
        <v>7</v>
      </c>
      <c r="F1371" s="12">
        <f>YEAR(Personal_Finance_Dataset[[#This Row],[Date]])</f>
        <v>2023</v>
      </c>
      <c r="G1371">
        <f t="shared" si="21"/>
        <v>2023</v>
      </c>
    </row>
    <row r="1372" spans="1:7" x14ac:dyDescent="0.25">
      <c r="A1372" s="8">
        <v>45202</v>
      </c>
      <c r="B1372" s="9" t="s">
        <v>1387</v>
      </c>
      <c r="C1372" s="9" t="s">
        <v>6</v>
      </c>
      <c r="D1372" s="9">
        <v>1610.7</v>
      </c>
      <c r="E1372" s="9" t="s">
        <v>7</v>
      </c>
      <c r="F1372" s="12">
        <f>YEAR(Personal_Finance_Dataset[[#This Row],[Date]])</f>
        <v>2023</v>
      </c>
      <c r="G1372">
        <f t="shared" si="21"/>
        <v>2023</v>
      </c>
    </row>
    <row r="1373" spans="1:7" x14ac:dyDescent="0.25">
      <c r="A1373" s="8">
        <v>45203</v>
      </c>
      <c r="B1373" s="9" t="s">
        <v>1388</v>
      </c>
      <c r="C1373" s="9" t="s">
        <v>27</v>
      </c>
      <c r="D1373" s="9">
        <v>1852.46</v>
      </c>
      <c r="E1373" s="9" t="s">
        <v>7</v>
      </c>
      <c r="F1373" s="12">
        <f>YEAR(Personal_Finance_Dataset[[#This Row],[Date]])</f>
        <v>2023</v>
      </c>
      <c r="G1373">
        <f t="shared" si="21"/>
        <v>2023</v>
      </c>
    </row>
    <row r="1374" spans="1:7" x14ac:dyDescent="0.25">
      <c r="A1374" s="8">
        <v>45204</v>
      </c>
      <c r="B1374" s="9" t="s">
        <v>1389</v>
      </c>
      <c r="C1374" s="9" t="s">
        <v>11</v>
      </c>
      <c r="D1374" s="9">
        <v>533.54999999999995</v>
      </c>
      <c r="E1374" s="9" t="s">
        <v>7</v>
      </c>
      <c r="F1374" s="12">
        <f>YEAR(Personal_Finance_Dataset[[#This Row],[Date]])</f>
        <v>2023</v>
      </c>
      <c r="G1374">
        <f t="shared" si="21"/>
        <v>2023</v>
      </c>
    </row>
    <row r="1375" spans="1:7" x14ac:dyDescent="0.25">
      <c r="A1375" s="8">
        <v>45205</v>
      </c>
      <c r="B1375" s="9" t="s">
        <v>1390</v>
      </c>
      <c r="C1375" s="9" t="s">
        <v>6</v>
      </c>
      <c r="D1375" s="9">
        <v>1451.74</v>
      </c>
      <c r="E1375" s="9" t="s">
        <v>7</v>
      </c>
      <c r="F1375" s="12">
        <f>YEAR(Personal_Finance_Dataset[[#This Row],[Date]])</f>
        <v>2023</v>
      </c>
      <c r="G1375">
        <f t="shared" si="21"/>
        <v>2023</v>
      </c>
    </row>
    <row r="1376" spans="1:7" x14ac:dyDescent="0.25">
      <c r="A1376" s="8">
        <v>45206</v>
      </c>
      <c r="B1376" s="9" t="s">
        <v>1391</v>
      </c>
      <c r="C1376" s="9" t="s">
        <v>17</v>
      </c>
      <c r="D1376" s="9">
        <v>1231.79</v>
      </c>
      <c r="E1376" s="9" t="s">
        <v>7</v>
      </c>
      <c r="F1376" s="12">
        <f>YEAR(Personal_Finance_Dataset[[#This Row],[Date]])</f>
        <v>2023</v>
      </c>
      <c r="G1376">
        <f t="shared" si="21"/>
        <v>2023</v>
      </c>
    </row>
    <row r="1377" spans="1:7" x14ac:dyDescent="0.25">
      <c r="A1377" s="8">
        <v>45207</v>
      </c>
      <c r="B1377" s="9" t="s">
        <v>1392</v>
      </c>
      <c r="C1377" s="9" t="s">
        <v>6</v>
      </c>
      <c r="D1377" s="9">
        <v>1891.97</v>
      </c>
      <c r="E1377" s="9" t="s">
        <v>7</v>
      </c>
      <c r="F1377" s="12">
        <f>YEAR(Personal_Finance_Dataset[[#This Row],[Date]])</f>
        <v>2023</v>
      </c>
      <c r="G1377">
        <f t="shared" si="21"/>
        <v>2023</v>
      </c>
    </row>
    <row r="1378" spans="1:7" x14ac:dyDescent="0.25">
      <c r="A1378" s="8">
        <v>45208</v>
      </c>
      <c r="B1378" s="9" t="s">
        <v>1393</v>
      </c>
      <c r="C1378" s="9" t="s">
        <v>27</v>
      </c>
      <c r="D1378" s="9">
        <v>883.55</v>
      </c>
      <c r="E1378" s="9" t="s">
        <v>7</v>
      </c>
      <c r="F1378" s="12">
        <f>YEAR(Personal_Finance_Dataset[[#This Row],[Date]])</f>
        <v>2023</v>
      </c>
      <c r="G1378">
        <f t="shared" si="21"/>
        <v>2023</v>
      </c>
    </row>
    <row r="1379" spans="1:7" x14ac:dyDescent="0.25">
      <c r="A1379" s="8">
        <v>45209</v>
      </c>
      <c r="B1379" s="9" t="s">
        <v>1394</v>
      </c>
      <c r="C1379" s="9" t="s">
        <v>35</v>
      </c>
      <c r="D1379" s="9">
        <v>397.55</v>
      </c>
      <c r="E1379" s="9" t="s">
        <v>7</v>
      </c>
      <c r="F1379" s="12">
        <f>YEAR(Personal_Finance_Dataset[[#This Row],[Date]])</f>
        <v>2023</v>
      </c>
      <c r="G1379">
        <f t="shared" si="21"/>
        <v>2023</v>
      </c>
    </row>
    <row r="1380" spans="1:7" x14ac:dyDescent="0.25">
      <c r="A1380" s="8">
        <v>45210</v>
      </c>
      <c r="B1380" s="9" t="s">
        <v>1395</v>
      </c>
      <c r="C1380" s="9" t="s">
        <v>22</v>
      </c>
      <c r="D1380" s="9">
        <v>1234.23</v>
      </c>
      <c r="E1380" s="9" t="s">
        <v>7</v>
      </c>
      <c r="F1380" s="12">
        <f>YEAR(Personal_Finance_Dataset[[#This Row],[Date]])</f>
        <v>2023</v>
      </c>
      <c r="G1380">
        <f t="shared" si="21"/>
        <v>2023</v>
      </c>
    </row>
    <row r="1381" spans="1:7" x14ac:dyDescent="0.25">
      <c r="A1381" s="8">
        <v>45211</v>
      </c>
      <c r="B1381" s="9" t="s">
        <v>1396</v>
      </c>
      <c r="C1381" s="9" t="s">
        <v>25</v>
      </c>
      <c r="D1381" s="9">
        <v>486.12</v>
      </c>
      <c r="E1381" s="9" t="s">
        <v>7</v>
      </c>
      <c r="F1381" s="12">
        <f>YEAR(Personal_Finance_Dataset[[#This Row],[Date]])</f>
        <v>2023</v>
      </c>
      <c r="G1381">
        <f t="shared" si="21"/>
        <v>2023</v>
      </c>
    </row>
    <row r="1382" spans="1:7" x14ac:dyDescent="0.25">
      <c r="A1382" s="8">
        <v>45212</v>
      </c>
      <c r="B1382" s="9" t="s">
        <v>1397</v>
      </c>
      <c r="C1382" s="9" t="s">
        <v>13</v>
      </c>
      <c r="D1382" s="9">
        <v>1211</v>
      </c>
      <c r="E1382" s="9" t="s">
        <v>14</v>
      </c>
      <c r="F1382" s="12">
        <f>YEAR(Personal_Finance_Dataset[[#This Row],[Date]])</f>
        <v>2023</v>
      </c>
      <c r="G1382">
        <f t="shared" si="21"/>
        <v>2023</v>
      </c>
    </row>
    <row r="1383" spans="1:7" x14ac:dyDescent="0.25">
      <c r="A1383" s="8">
        <v>45213</v>
      </c>
      <c r="B1383" s="9" t="s">
        <v>1398</v>
      </c>
      <c r="C1383" s="9" t="s">
        <v>17</v>
      </c>
      <c r="D1383" s="9">
        <v>712.72</v>
      </c>
      <c r="E1383" s="9" t="s">
        <v>7</v>
      </c>
      <c r="F1383" s="12">
        <f>YEAR(Personal_Finance_Dataset[[#This Row],[Date]])</f>
        <v>2023</v>
      </c>
      <c r="G1383">
        <f t="shared" si="21"/>
        <v>2023</v>
      </c>
    </row>
    <row r="1384" spans="1:7" x14ac:dyDescent="0.25">
      <c r="A1384" s="8">
        <v>45214</v>
      </c>
      <c r="B1384" s="9" t="s">
        <v>1399</v>
      </c>
      <c r="C1384" s="9" t="s">
        <v>22</v>
      </c>
      <c r="D1384" s="9">
        <v>1040.31</v>
      </c>
      <c r="E1384" s="9" t="s">
        <v>7</v>
      </c>
      <c r="F1384" s="12">
        <f>YEAR(Personal_Finance_Dataset[[#This Row],[Date]])</f>
        <v>2023</v>
      </c>
      <c r="G1384">
        <f t="shared" si="21"/>
        <v>2023</v>
      </c>
    </row>
    <row r="1385" spans="1:7" x14ac:dyDescent="0.25">
      <c r="A1385" s="8">
        <v>45215</v>
      </c>
      <c r="B1385" s="9" t="s">
        <v>1400</v>
      </c>
      <c r="C1385" s="9" t="s">
        <v>11</v>
      </c>
      <c r="D1385" s="9">
        <v>1839.16</v>
      </c>
      <c r="E1385" s="9" t="s">
        <v>7</v>
      </c>
      <c r="F1385" s="12">
        <f>YEAR(Personal_Finance_Dataset[[#This Row],[Date]])</f>
        <v>2023</v>
      </c>
      <c r="G1385">
        <f t="shared" si="21"/>
        <v>2023</v>
      </c>
    </row>
    <row r="1386" spans="1:7" x14ac:dyDescent="0.25">
      <c r="A1386" s="8">
        <v>45216</v>
      </c>
      <c r="B1386" s="9" t="s">
        <v>1401</v>
      </c>
      <c r="C1386" s="9" t="s">
        <v>25</v>
      </c>
      <c r="D1386" s="9">
        <v>701.48</v>
      </c>
      <c r="E1386" s="9" t="s">
        <v>7</v>
      </c>
      <c r="F1386" s="12">
        <f>YEAR(Personal_Finance_Dataset[[#This Row],[Date]])</f>
        <v>2023</v>
      </c>
      <c r="G1386">
        <f t="shared" si="21"/>
        <v>2023</v>
      </c>
    </row>
    <row r="1387" spans="1:7" x14ac:dyDescent="0.25">
      <c r="A1387" s="8">
        <v>45217</v>
      </c>
      <c r="B1387" s="9" t="s">
        <v>1402</v>
      </c>
      <c r="C1387" s="9" t="s">
        <v>22</v>
      </c>
      <c r="D1387" s="9">
        <v>1216.6600000000001</v>
      </c>
      <c r="E1387" s="9" t="s">
        <v>7</v>
      </c>
      <c r="F1387" s="12">
        <f>YEAR(Personal_Finance_Dataset[[#This Row],[Date]])</f>
        <v>2023</v>
      </c>
      <c r="G1387">
        <f t="shared" si="21"/>
        <v>2023</v>
      </c>
    </row>
    <row r="1388" spans="1:7" x14ac:dyDescent="0.25">
      <c r="A1388" s="8">
        <v>45218</v>
      </c>
      <c r="B1388" s="9" t="s">
        <v>1403</v>
      </c>
      <c r="C1388" s="9" t="s">
        <v>20</v>
      </c>
      <c r="D1388" s="9">
        <v>538</v>
      </c>
      <c r="E1388" s="9" t="s">
        <v>14</v>
      </c>
      <c r="F1388" s="12">
        <f>YEAR(Personal_Finance_Dataset[[#This Row],[Date]])</f>
        <v>2023</v>
      </c>
      <c r="G1388">
        <f t="shared" si="21"/>
        <v>2023</v>
      </c>
    </row>
    <row r="1389" spans="1:7" x14ac:dyDescent="0.25">
      <c r="A1389" s="8">
        <v>45219</v>
      </c>
      <c r="B1389" s="9" t="s">
        <v>1404</v>
      </c>
      <c r="C1389" s="9" t="s">
        <v>17</v>
      </c>
      <c r="D1389" s="9">
        <v>1017.41</v>
      </c>
      <c r="E1389" s="9" t="s">
        <v>7</v>
      </c>
      <c r="F1389" s="12">
        <f>YEAR(Personal_Finance_Dataset[[#This Row],[Date]])</f>
        <v>2023</v>
      </c>
      <c r="G1389">
        <f t="shared" si="21"/>
        <v>2023</v>
      </c>
    </row>
    <row r="1390" spans="1:7" x14ac:dyDescent="0.25">
      <c r="A1390" s="8">
        <v>45220</v>
      </c>
      <c r="B1390" s="9" t="s">
        <v>1405</v>
      </c>
      <c r="C1390" s="9" t="s">
        <v>35</v>
      </c>
      <c r="D1390" s="9">
        <v>686.53</v>
      </c>
      <c r="E1390" s="9" t="s">
        <v>7</v>
      </c>
      <c r="F1390" s="12">
        <f>YEAR(Personal_Finance_Dataset[[#This Row],[Date]])</f>
        <v>2023</v>
      </c>
      <c r="G1390">
        <f t="shared" si="21"/>
        <v>2023</v>
      </c>
    </row>
    <row r="1391" spans="1:7" x14ac:dyDescent="0.25">
      <c r="A1391" s="8">
        <v>45221</v>
      </c>
      <c r="B1391" s="9" t="s">
        <v>1406</v>
      </c>
      <c r="C1391" s="9" t="s">
        <v>20</v>
      </c>
      <c r="D1391" s="9">
        <v>4906</v>
      </c>
      <c r="E1391" s="9" t="s">
        <v>14</v>
      </c>
      <c r="F1391" s="12">
        <f>YEAR(Personal_Finance_Dataset[[#This Row],[Date]])</f>
        <v>2023</v>
      </c>
      <c r="G1391">
        <f t="shared" si="21"/>
        <v>2023</v>
      </c>
    </row>
    <row r="1392" spans="1:7" x14ac:dyDescent="0.25">
      <c r="A1392" s="8">
        <v>45222</v>
      </c>
      <c r="B1392" s="9" t="s">
        <v>1407</v>
      </c>
      <c r="C1392" s="9" t="s">
        <v>35</v>
      </c>
      <c r="D1392" s="9">
        <v>1391.44</v>
      </c>
      <c r="E1392" s="9" t="s">
        <v>7</v>
      </c>
      <c r="F1392" s="12">
        <f>YEAR(Personal_Finance_Dataset[[#This Row],[Date]])</f>
        <v>2023</v>
      </c>
      <c r="G1392">
        <f t="shared" si="21"/>
        <v>2023</v>
      </c>
    </row>
    <row r="1393" spans="1:7" x14ac:dyDescent="0.25">
      <c r="A1393" s="8">
        <v>45223</v>
      </c>
      <c r="B1393" s="9" t="s">
        <v>1408</v>
      </c>
      <c r="C1393" s="9" t="s">
        <v>27</v>
      </c>
      <c r="D1393" s="9">
        <v>1542.23</v>
      </c>
      <c r="E1393" s="9" t="s">
        <v>7</v>
      </c>
      <c r="F1393" s="12">
        <f>YEAR(Personal_Finance_Dataset[[#This Row],[Date]])</f>
        <v>2023</v>
      </c>
      <c r="G1393">
        <f t="shared" si="21"/>
        <v>2023</v>
      </c>
    </row>
    <row r="1394" spans="1:7" x14ac:dyDescent="0.25">
      <c r="A1394" s="8">
        <v>45224</v>
      </c>
      <c r="B1394" s="9" t="s">
        <v>1409</v>
      </c>
      <c r="C1394" s="9" t="s">
        <v>27</v>
      </c>
      <c r="D1394" s="9">
        <v>1366.37</v>
      </c>
      <c r="E1394" s="9" t="s">
        <v>7</v>
      </c>
      <c r="F1394" s="12">
        <f>YEAR(Personal_Finance_Dataset[[#This Row],[Date]])</f>
        <v>2023</v>
      </c>
      <c r="G1394">
        <f t="shared" si="21"/>
        <v>2023</v>
      </c>
    </row>
    <row r="1395" spans="1:7" x14ac:dyDescent="0.25">
      <c r="A1395" s="8">
        <v>45225</v>
      </c>
      <c r="B1395" s="9" t="s">
        <v>1410</v>
      </c>
      <c r="C1395" s="9" t="s">
        <v>6</v>
      </c>
      <c r="D1395" s="9">
        <v>969.12</v>
      </c>
      <c r="E1395" s="9" t="s">
        <v>7</v>
      </c>
      <c r="F1395" s="12">
        <f>YEAR(Personal_Finance_Dataset[[#This Row],[Date]])</f>
        <v>2023</v>
      </c>
      <c r="G1395">
        <f t="shared" si="21"/>
        <v>2023</v>
      </c>
    </row>
    <row r="1396" spans="1:7" x14ac:dyDescent="0.25">
      <c r="A1396" s="8">
        <v>45226</v>
      </c>
      <c r="B1396" s="9" t="s">
        <v>1411</v>
      </c>
      <c r="C1396" s="9" t="s">
        <v>17</v>
      </c>
      <c r="D1396" s="9">
        <v>1270.99</v>
      </c>
      <c r="E1396" s="9" t="s">
        <v>7</v>
      </c>
      <c r="F1396" s="12">
        <f>YEAR(Personal_Finance_Dataset[[#This Row],[Date]])</f>
        <v>2023</v>
      </c>
      <c r="G1396">
        <f t="shared" si="21"/>
        <v>2023</v>
      </c>
    </row>
    <row r="1397" spans="1:7" x14ac:dyDescent="0.25">
      <c r="A1397" s="8">
        <v>45227</v>
      </c>
      <c r="B1397" s="9" t="s">
        <v>1412</v>
      </c>
      <c r="C1397" s="9" t="s">
        <v>22</v>
      </c>
      <c r="D1397" s="9">
        <v>1602.32</v>
      </c>
      <c r="E1397" s="9" t="s">
        <v>7</v>
      </c>
      <c r="F1397" s="12">
        <f>YEAR(Personal_Finance_Dataset[[#This Row],[Date]])</f>
        <v>2023</v>
      </c>
      <c r="G1397">
        <f t="shared" si="21"/>
        <v>2023</v>
      </c>
    </row>
    <row r="1398" spans="1:7" x14ac:dyDescent="0.25">
      <c r="A1398" s="8">
        <v>45228</v>
      </c>
      <c r="B1398" s="9" t="s">
        <v>1413</v>
      </c>
      <c r="C1398" s="9" t="s">
        <v>25</v>
      </c>
      <c r="D1398" s="9">
        <v>1037.8399999999999</v>
      </c>
      <c r="E1398" s="9" t="s">
        <v>7</v>
      </c>
      <c r="F1398" s="12">
        <f>YEAR(Personal_Finance_Dataset[[#This Row],[Date]])</f>
        <v>2023</v>
      </c>
      <c r="G1398">
        <f t="shared" si="21"/>
        <v>2023</v>
      </c>
    </row>
    <row r="1399" spans="1:7" x14ac:dyDescent="0.25">
      <c r="A1399" s="8">
        <v>45229</v>
      </c>
      <c r="B1399" s="9" t="s">
        <v>1414</v>
      </c>
      <c r="C1399" s="9" t="s">
        <v>20</v>
      </c>
      <c r="D1399" s="9">
        <v>2533</v>
      </c>
      <c r="E1399" s="9" t="s">
        <v>14</v>
      </c>
      <c r="F1399" s="12">
        <f>YEAR(Personal_Finance_Dataset[[#This Row],[Date]])</f>
        <v>2023</v>
      </c>
      <c r="G1399">
        <f t="shared" si="21"/>
        <v>2023</v>
      </c>
    </row>
    <row r="1400" spans="1:7" x14ac:dyDescent="0.25">
      <c r="A1400" s="8">
        <v>45230</v>
      </c>
      <c r="B1400" s="9" t="s">
        <v>1415</v>
      </c>
      <c r="C1400" s="9" t="s">
        <v>17</v>
      </c>
      <c r="D1400" s="9">
        <v>1350.66</v>
      </c>
      <c r="E1400" s="9" t="s">
        <v>7</v>
      </c>
      <c r="F1400" s="12">
        <f>YEAR(Personal_Finance_Dataset[[#This Row],[Date]])</f>
        <v>2023</v>
      </c>
      <c r="G1400">
        <f t="shared" si="21"/>
        <v>2023</v>
      </c>
    </row>
    <row r="1401" spans="1:7" x14ac:dyDescent="0.25">
      <c r="A1401" s="8">
        <v>45231</v>
      </c>
      <c r="B1401" s="9" t="s">
        <v>1416</v>
      </c>
      <c r="C1401" s="9" t="s">
        <v>11</v>
      </c>
      <c r="D1401" s="9">
        <v>1113.56</v>
      </c>
      <c r="E1401" s="9" t="s">
        <v>7</v>
      </c>
      <c r="F1401" s="12">
        <f>YEAR(Personal_Finance_Dataset[[#This Row],[Date]])</f>
        <v>2023</v>
      </c>
      <c r="G1401">
        <f t="shared" si="21"/>
        <v>2023</v>
      </c>
    </row>
    <row r="1402" spans="1:7" x14ac:dyDescent="0.25">
      <c r="A1402" s="8">
        <v>45232</v>
      </c>
      <c r="B1402" s="9" t="s">
        <v>1417</v>
      </c>
      <c r="C1402" s="9" t="s">
        <v>20</v>
      </c>
      <c r="D1402" s="9">
        <v>3396</v>
      </c>
      <c r="E1402" s="9" t="s">
        <v>14</v>
      </c>
      <c r="F1402" s="12">
        <f>YEAR(Personal_Finance_Dataset[[#This Row],[Date]])</f>
        <v>2023</v>
      </c>
      <c r="G1402">
        <f t="shared" si="21"/>
        <v>2023</v>
      </c>
    </row>
    <row r="1403" spans="1:7" x14ac:dyDescent="0.25">
      <c r="A1403" s="8">
        <v>45233</v>
      </c>
      <c r="B1403" s="9" t="s">
        <v>1418</v>
      </c>
      <c r="C1403" s="9" t="s">
        <v>35</v>
      </c>
      <c r="D1403" s="9">
        <v>373.74</v>
      </c>
      <c r="E1403" s="9" t="s">
        <v>7</v>
      </c>
      <c r="F1403" s="12">
        <f>YEAR(Personal_Finance_Dataset[[#This Row],[Date]])</f>
        <v>2023</v>
      </c>
      <c r="G1403">
        <f t="shared" si="21"/>
        <v>2023</v>
      </c>
    </row>
    <row r="1404" spans="1:7" x14ac:dyDescent="0.25">
      <c r="A1404" s="8">
        <v>45234</v>
      </c>
      <c r="B1404" s="9" t="s">
        <v>1419</v>
      </c>
      <c r="C1404" s="9" t="s">
        <v>22</v>
      </c>
      <c r="D1404" s="9">
        <v>1003.01</v>
      </c>
      <c r="E1404" s="9" t="s">
        <v>7</v>
      </c>
      <c r="F1404" s="12">
        <f>YEAR(Personal_Finance_Dataset[[#This Row],[Date]])</f>
        <v>2023</v>
      </c>
      <c r="G1404">
        <f t="shared" si="21"/>
        <v>2023</v>
      </c>
    </row>
    <row r="1405" spans="1:7" x14ac:dyDescent="0.25">
      <c r="A1405" s="8">
        <v>45235</v>
      </c>
      <c r="B1405" s="9" t="s">
        <v>1420</v>
      </c>
      <c r="C1405" s="9" t="s">
        <v>13</v>
      </c>
      <c r="D1405" s="9">
        <v>2674</v>
      </c>
      <c r="E1405" s="9" t="s">
        <v>14</v>
      </c>
      <c r="F1405" s="12">
        <f>YEAR(Personal_Finance_Dataset[[#This Row],[Date]])</f>
        <v>2023</v>
      </c>
      <c r="G1405">
        <f t="shared" si="21"/>
        <v>2023</v>
      </c>
    </row>
    <row r="1406" spans="1:7" x14ac:dyDescent="0.25">
      <c r="A1406" s="8">
        <v>45236</v>
      </c>
      <c r="B1406" s="9" t="s">
        <v>1421</v>
      </c>
      <c r="C1406" s="9" t="s">
        <v>22</v>
      </c>
      <c r="D1406" s="9">
        <v>1671.53</v>
      </c>
      <c r="E1406" s="9" t="s">
        <v>7</v>
      </c>
      <c r="F1406" s="12">
        <f>YEAR(Personal_Finance_Dataset[[#This Row],[Date]])</f>
        <v>2023</v>
      </c>
      <c r="G1406">
        <f t="shared" si="21"/>
        <v>2023</v>
      </c>
    </row>
    <row r="1407" spans="1:7" x14ac:dyDescent="0.25">
      <c r="A1407" s="8">
        <v>45237</v>
      </c>
      <c r="B1407" s="9" t="s">
        <v>1422</v>
      </c>
      <c r="C1407" s="9" t="s">
        <v>25</v>
      </c>
      <c r="D1407" s="9">
        <v>320.43</v>
      </c>
      <c r="E1407" s="9" t="s">
        <v>7</v>
      </c>
      <c r="F1407" s="12">
        <f>YEAR(Personal_Finance_Dataset[[#This Row],[Date]])</f>
        <v>2023</v>
      </c>
      <c r="G1407">
        <f t="shared" si="21"/>
        <v>2023</v>
      </c>
    </row>
    <row r="1408" spans="1:7" x14ac:dyDescent="0.25">
      <c r="A1408" s="8">
        <v>45238</v>
      </c>
      <c r="B1408" s="9" t="s">
        <v>1423</v>
      </c>
      <c r="C1408" s="9" t="s">
        <v>13</v>
      </c>
      <c r="D1408" s="9">
        <v>4535</v>
      </c>
      <c r="E1408" s="9" t="s">
        <v>14</v>
      </c>
      <c r="F1408" s="12">
        <f>YEAR(Personal_Finance_Dataset[[#This Row],[Date]])</f>
        <v>2023</v>
      </c>
      <c r="G1408">
        <f t="shared" si="21"/>
        <v>2023</v>
      </c>
    </row>
    <row r="1409" spans="1:7" x14ac:dyDescent="0.25">
      <c r="A1409" s="8">
        <v>45239</v>
      </c>
      <c r="B1409" s="9" t="s">
        <v>1424</v>
      </c>
      <c r="C1409" s="9" t="s">
        <v>6</v>
      </c>
      <c r="D1409" s="9">
        <v>1697.54</v>
      </c>
      <c r="E1409" s="9" t="s">
        <v>7</v>
      </c>
      <c r="F1409" s="12">
        <f>YEAR(Personal_Finance_Dataset[[#This Row],[Date]])</f>
        <v>2023</v>
      </c>
      <c r="G1409">
        <f t="shared" si="21"/>
        <v>2023</v>
      </c>
    </row>
    <row r="1410" spans="1:7" x14ac:dyDescent="0.25">
      <c r="A1410" s="8">
        <v>45240</v>
      </c>
      <c r="B1410" s="9" t="s">
        <v>1425</v>
      </c>
      <c r="C1410" s="9" t="s">
        <v>25</v>
      </c>
      <c r="D1410" s="9">
        <v>989.76</v>
      </c>
      <c r="E1410" s="9" t="s">
        <v>7</v>
      </c>
      <c r="F1410" s="12">
        <f>YEAR(Personal_Finance_Dataset[[#This Row],[Date]])</f>
        <v>2023</v>
      </c>
      <c r="G1410">
        <f t="shared" ref="G1410:G1473" si="22">YEAR(A1410)</f>
        <v>2023</v>
      </c>
    </row>
    <row r="1411" spans="1:7" x14ac:dyDescent="0.25">
      <c r="A1411" s="8">
        <v>45241</v>
      </c>
      <c r="B1411" s="9" t="s">
        <v>1426</v>
      </c>
      <c r="C1411" s="9" t="s">
        <v>35</v>
      </c>
      <c r="D1411" s="9">
        <v>986.7</v>
      </c>
      <c r="E1411" s="9" t="s">
        <v>7</v>
      </c>
      <c r="F1411" s="12">
        <f>YEAR(Personal_Finance_Dataset[[#This Row],[Date]])</f>
        <v>2023</v>
      </c>
      <c r="G1411">
        <f t="shared" si="22"/>
        <v>2023</v>
      </c>
    </row>
    <row r="1412" spans="1:7" x14ac:dyDescent="0.25">
      <c r="A1412" s="8">
        <v>45242</v>
      </c>
      <c r="B1412" s="9" t="s">
        <v>1427</v>
      </c>
      <c r="C1412" s="9" t="s">
        <v>35</v>
      </c>
      <c r="D1412" s="9">
        <v>801.78</v>
      </c>
      <c r="E1412" s="9" t="s">
        <v>7</v>
      </c>
      <c r="F1412" s="12">
        <f>YEAR(Personal_Finance_Dataset[[#This Row],[Date]])</f>
        <v>2023</v>
      </c>
      <c r="G1412">
        <f t="shared" si="22"/>
        <v>2023</v>
      </c>
    </row>
    <row r="1413" spans="1:7" x14ac:dyDescent="0.25">
      <c r="A1413" s="8">
        <v>45243</v>
      </c>
      <c r="B1413" s="9" t="s">
        <v>1428</v>
      </c>
      <c r="C1413" s="9" t="s">
        <v>9</v>
      </c>
      <c r="D1413" s="9">
        <v>117.75</v>
      </c>
      <c r="E1413" s="9" t="s">
        <v>7</v>
      </c>
      <c r="F1413" s="12">
        <f>YEAR(Personal_Finance_Dataset[[#This Row],[Date]])</f>
        <v>2023</v>
      </c>
      <c r="G1413">
        <f t="shared" si="22"/>
        <v>2023</v>
      </c>
    </row>
    <row r="1414" spans="1:7" x14ac:dyDescent="0.25">
      <c r="A1414" s="8">
        <v>45244</v>
      </c>
      <c r="B1414" s="9" t="s">
        <v>1429</v>
      </c>
      <c r="C1414" s="9" t="s">
        <v>27</v>
      </c>
      <c r="D1414" s="9">
        <v>1879.91</v>
      </c>
      <c r="E1414" s="9" t="s">
        <v>7</v>
      </c>
      <c r="F1414" s="12">
        <f>YEAR(Personal_Finance_Dataset[[#This Row],[Date]])</f>
        <v>2023</v>
      </c>
      <c r="G1414">
        <f t="shared" si="22"/>
        <v>2023</v>
      </c>
    </row>
    <row r="1415" spans="1:7" x14ac:dyDescent="0.25">
      <c r="A1415" s="8">
        <v>45245</v>
      </c>
      <c r="B1415" s="9" t="s">
        <v>1430</v>
      </c>
      <c r="C1415" s="9" t="s">
        <v>20</v>
      </c>
      <c r="D1415" s="9">
        <v>3725</v>
      </c>
      <c r="E1415" s="9" t="s">
        <v>14</v>
      </c>
      <c r="F1415" s="12">
        <f>YEAR(Personal_Finance_Dataset[[#This Row],[Date]])</f>
        <v>2023</v>
      </c>
      <c r="G1415">
        <f t="shared" si="22"/>
        <v>2023</v>
      </c>
    </row>
    <row r="1416" spans="1:7" x14ac:dyDescent="0.25">
      <c r="A1416" s="8">
        <v>45246</v>
      </c>
      <c r="B1416" s="9" t="s">
        <v>1431</v>
      </c>
      <c r="C1416" s="9" t="s">
        <v>9</v>
      </c>
      <c r="D1416" s="9">
        <v>919.82</v>
      </c>
      <c r="E1416" s="9" t="s">
        <v>7</v>
      </c>
      <c r="F1416" s="12">
        <f>YEAR(Personal_Finance_Dataset[[#This Row],[Date]])</f>
        <v>2023</v>
      </c>
      <c r="G1416">
        <f t="shared" si="22"/>
        <v>2023</v>
      </c>
    </row>
    <row r="1417" spans="1:7" x14ac:dyDescent="0.25">
      <c r="A1417" s="8">
        <v>45247</v>
      </c>
      <c r="B1417" s="9" t="s">
        <v>1432</v>
      </c>
      <c r="C1417" s="9" t="s">
        <v>20</v>
      </c>
      <c r="D1417" s="9">
        <v>3085</v>
      </c>
      <c r="E1417" s="9" t="s">
        <v>14</v>
      </c>
      <c r="F1417" s="12">
        <f>YEAR(Personal_Finance_Dataset[[#This Row],[Date]])</f>
        <v>2023</v>
      </c>
      <c r="G1417">
        <f t="shared" si="22"/>
        <v>2023</v>
      </c>
    </row>
    <row r="1418" spans="1:7" x14ac:dyDescent="0.25">
      <c r="A1418" s="8">
        <v>45248</v>
      </c>
      <c r="B1418" s="9" t="s">
        <v>1433</v>
      </c>
      <c r="C1418" s="9" t="s">
        <v>6</v>
      </c>
      <c r="D1418" s="9">
        <v>1351.47</v>
      </c>
      <c r="E1418" s="9" t="s">
        <v>7</v>
      </c>
      <c r="F1418" s="12">
        <f>YEAR(Personal_Finance_Dataset[[#This Row],[Date]])</f>
        <v>2023</v>
      </c>
      <c r="G1418">
        <f t="shared" si="22"/>
        <v>2023</v>
      </c>
    </row>
    <row r="1419" spans="1:7" x14ac:dyDescent="0.25">
      <c r="A1419" s="8">
        <v>45249</v>
      </c>
      <c r="B1419" s="9" t="s">
        <v>1434</v>
      </c>
      <c r="C1419" s="9" t="s">
        <v>11</v>
      </c>
      <c r="D1419" s="9">
        <v>657.62</v>
      </c>
      <c r="E1419" s="9" t="s">
        <v>7</v>
      </c>
      <c r="F1419" s="12">
        <f>YEAR(Personal_Finance_Dataset[[#This Row],[Date]])</f>
        <v>2023</v>
      </c>
      <c r="G1419">
        <f t="shared" si="22"/>
        <v>2023</v>
      </c>
    </row>
    <row r="1420" spans="1:7" x14ac:dyDescent="0.25">
      <c r="A1420" s="8">
        <v>45250</v>
      </c>
      <c r="B1420" s="9" t="s">
        <v>1435</v>
      </c>
      <c r="C1420" s="9" t="s">
        <v>35</v>
      </c>
      <c r="D1420" s="9">
        <v>382.43</v>
      </c>
      <c r="E1420" s="9" t="s">
        <v>7</v>
      </c>
      <c r="F1420" s="12">
        <f>YEAR(Personal_Finance_Dataset[[#This Row],[Date]])</f>
        <v>2023</v>
      </c>
      <c r="G1420">
        <f t="shared" si="22"/>
        <v>2023</v>
      </c>
    </row>
    <row r="1421" spans="1:7" x14ac:dyDescent="0.25">
      <c r="A1421" s="8">
        <v>45251</v>
      </c>
      <c r="B1421" s="9" t="s">
        <v>1436</v>
      </c>
      <c r="C1421" s="9" t="s">
        <v>35</v>
      </c>
      <c r="D1421" s="9">
        <v>947.98</v>
      </c>
      <c r="E1421" s="9" t="s">
        <v>7</v>
      </c>
      <c r="F1421" s="12">
        <f>YEAR(Personal_Finance_Dataset[[#This Row],[Date]])</f>
        <v>2023</v>
      </c>
      <c r="G1421">
        <f t="shared" si="22"/>
        <v>2023</v>
      </c>
    </row>
    <row r="1422" spans="1:7" x14ac:dyDescent="0.25">
      <c r="A1422" s="8">
        <v>45252</v>
      </c>
      <c r="B1422" s="9" t="s">
        <v>1437</v>
      </c>
      <c r="C1422" s="9" t="s">
        <v>25</v>
      </c>
      <c r="D1422" s="9">
        <v>375.99</v>
      </c>
      <c r="E1422" s="9" t="s">
        <v>7</v>
      </c>
      <c r="F1422" s="12">
        <f>YEAR(Personal_Finance_Dataset[[#This Row],[Date]])</f>
        <v>2023</v>
      </c>
      <c r="G1422">
        <f t="shared" si="22"/>
        <v>2023</v>
      </c>
    </row>
    <row r="1423" spans="1:7" x14ac:dyDescent="0.25">
      <c r="A1423" s="8">
        <v>45253</v>
      </c>
      <c r="B1423" s="9" t="s">
        <v>1438</v>
      </c>
      <c r="C1423" s="9" t="s">
        <v>17</v>
      </c>
      <c r="D1423" s="9">
        <v>1404.42</v>
      </c>
      <c r="E1423" s="9" t="s">
        <v>7</v>
      </c>
      <c r="F1423" s="12">
        <f>YEAR(Personal_Finance_Dataset[[#This Row],[Date]])</f>
        <v>2023</v>
      </c>
      <c r="G1423">
        <f t="shared" si="22"/>
        <v>2023</v>
      </c>
    </row>
    <row r="1424" spans="1:7" x14ac:dyDescent="0.25">
      <c r="A1424" s="8">
        <v>45254</v>
      </c>
      <c r="B1424" s="9" t="s">
        <v>1439</v>
      </c>
      <c r="C1424" s="9" t="s">
        <v>17</v>
      </c>
      <c r="D1424" s="9">
        <v>566.46</v>
      </c>
      <c r="E1424" s="9" t="s">
        <v>7</v>
      </c>
      <c r="F1424" s="12">
        <f>YEAR(Personal_Finance_Dataset[[#This Row],[Date]])</f>
        <v>2023</v>
      </c>
      <c r="G1424">
        <f t="shared" si="22"/>
        <v>2023</v>
      </c>
    </row>
    <row r="1425" spans="1:7" x14ac:dyDescent="0.25">
      <c r="A1425" s="8">
        <v>45255</v>
      </c>
      <c r="B1425" s="9" t="s">
        <v>1440</v>
      </c>
      <c r="C1425" s="9" t="s">
        <v>13</v>
      </c>
      <c r="D1425" s="9">
        <v>2372</v>
      </c>
      <c r="E1425" s="9" t="s">
        <v>14</v>
      </c>
      <c r="F1425" s="12">
        <f>YEAR(Personal_Finance_Dataset[[#This Row],[Date]])</f>
        <v>2023</v>
      </c>
      <c r="G1425">
        <f t="shared" si="22"/>
        <v>2023</v>
      </c>
    </row>
    <row r="1426" spans="1:7" x14ac:dyDescent="0.25">
      <c r="A1426" s="8">
        <v>45256</v>
      </c>
      <c r="B1426" s="9" t="s">
        <v>1441</v>
      </c>
      <c r="C1426" s="9" t="s">
        <v>35</v>
      </c>
      <c r="D1426" s="9">
        <v>1610.13</v>
      </c>
      <c r="E1426" s="9" t="s">
        <v>7</v>
      </c>
      <c r="F1426" s="12">
        <f>YEAR(Personal_Finance_Dataset[[#This Row],[Date]])</f>
        <v>2023</v>
      </c>
      <c r="G1426">
        <f t="shared" si="22"/>
        <v>2023</v>
      </c>
    </row>
    <row r="1427" spans="1:7" x14ac:dyDescent="0.25">
      <c r="A1427" s="8">
        <v>45257</v>
      </c>
      <c r="B1427" s="9" t="s">
        <v>1442</v>
      </c>
      <c r="C1427" s="9" t="s">
        <v>17</v>
      </c>
      <c r="D1427" s="9">
        <v>400.17</v>
      </c>
      <c r="E1427" s="9" t="s">
        <v>7</v>
      </c>
      <c r="F1427" s="12">
        <f>YEAR(Personal_Finance_Dataset[[#This Row],[Date]])</f>
        <v>2023</v>
      </c>
      <c r="G1427">
        <f t="shared" si="22"/>
        <v>2023</v>
      </c>
    </row>
    <row r="1428" spans="1:7" x14ac:dyDescent="0.25">
      <c r="A1428" s="8">
        <v>45258</v>
      </c>
      <c r="B1428" s="9" t="s">
        <v>1443</v>
      </c>
      <c r="C1428" s="9" t="s">
        <v>9</v>
      </c>
      <c r="D1428" s="9">
        <v>951.24</v>
      </c>
      <c r="E1428" s="9" t="s">
        <v>7</v>
      </c>
      <c r="F1428" s="12">
        <f>YEAR(Personal_Finance_Dataset[[#This Row],[Date]])</f>
        <v>2023</v>
      </c>
      <c r="G1428">
        <f t="shared" si="22"/>
        <v>2023</v>
      </c>
    </row>
    <row r="1429" spans="1:7" x14ac:dyDescent="0.25">
      <c r="A1429" s="8">
        <v>45259</v>
      </c>
      <c r="B1429" s="9" t="s">
        <v>1444</v>
      </c>
      <c r="C1429" s="9" t="s">
        <v>20</v>
      </c>
      <c r="D1429" s="9">
        <v>4592</v>
      </c>
      <c r="E1429" s="9" t="s">
        <v>14</v>
      </c>
      <c r="F1429" s="12">
        <f>YEAR(Personal_Finance_Dataset[[#This Row],[Date]])</f>
        <v>2023</v>
      </c>
      <c r="G1429">
        <f t="shared" si="22"/>
        <v>2023</v>
      </c>
    </row>
    <row r="1430" spans="1:7" x14ac:dyDescent="0.25">
      <c r="A1430" s="8">
        <v>45260</v>
      </c>
      <c r="B1430" s="9" t="s">
        <v>1445</v>
      </c>
      <c r="C1430" s="9" t="s">
        <v>20</v>
      </c>
      <c r="D1430" s="9">
        <v>4486</v>
      </c>
      <c r="E1430" s="9" t="s">
        <v>14</v>
      </c>
      <c r="F1430" s="12">
        <f>YEAR(Personal_Finance_Dataset[[#This Row],[Date]])</f>
        <v>2023</v>
      </c>
      <c r="G1430">
        <f t="shared" si="22"/>
        <v>2023</v>
      </c>
    </row>
    <row r="1431" spans="1:7" x14ac:dyDescent="0.25">
      <c r="A1431" s="8">
        <v>45261</v>
      </c>
      <c r="B1431" s="9" t="s">
        <v>1446</v>
      </c>
      <c r="C1431" s="9" t="s">
        <v>6</v>
      </c>
      <c r="D1431" s="9">
        <v>802.82</v>
      </c>
      <c r="E1431" s="9" t="s">
        <v>7</v>
      </c>
      <c r="F1431" s="12">
        <f>YEAR(Personal_Finance_Dataset[[#This Row],[Date]])</f>
        <v>2023</v>
      </c>
      <c r="G1431">
        <f t="shared" si="22"/>
        <v>2023</v>
      </c>
    </row>
    <row r="1432" spans="1:7" x14ac:dyDescent="0.25">
      <c r="A1432" s="8">
        <v>45262</v>
      </c>
      <c r="B1432" s="9" t="s">
        <v>1447</v>
      </c>
      <c r="C1432" s="9" t="s">
        <v>6</v>
      </c>
      <c r="D1432" s="9">
        <v>438.78</v>
      </c>
      <c r="E1432" s="9" t="s">
        <v>7</v>
      </c>
      <c r="F1432" s="12">
        <f>YEAR(Personal_Finance_Dataset[[#This Row],[Date]])</f>
        <v>2023</v>
      </c>
      <c r="G1432">
        <f t="shared" si="22"/>
        <v>2023</v>
      </c>
    </row>
    <row r="1433" spans="1:7" x14ac:dyDescent="0.25">
      <c r="A1433" s="8">
        <v>45263</v>
      </c>
      <c r="B1433" s="9" t="s">
        <v>1448</v>
      </c>
      <c r="C1433" s="9" t="s">
        <v>11</v>
      </c>
      <c r="D1433" s="9">
        <v>905.21</v>
      </c>
      <c r="E1433" s="9" t="s">
        <v>7</v>
      </c>
      <c r="F1433" s="12">
        <f>YEAR(Personal_Finance_Dataset[[#This Row],[Date]])</f>
        <v>2023</v>
      </c>
      <c r="G1433">
        <f t="shared" si="22"/>
        <v>2023</v>
      </c>
    </row>
    <row r="1434" spans="1:7" x14ac:dyDescent="0.25">
      <c r="A1434" s="8">
        <v>45264</v>
      </c>
      <c r="B1434" s="9" t="s">
        <v>1449</v>
      </c>
      <c r="C1434" s="9" t="s">
        <v>25</v>
      </c>
      <c r="D1434" s="9">
        <v>727.01</v>
      </c>
      <c r="E1434" s="9" t="s">
        <v>7</v>
      </c>
      <c r="F1434" s="12">
        <f>YEAR(Personal_Finance_Dataset[[#This Row],[Date]])</f>
        <v>2023</v>
      </c>
      <c r="G1434">
        <f t="shared" si="22"/>
        <v>2023</v>
      </c>
    </row>
    <row r="1435" spans="1:7" x14ac:dyDescent="0.25">
      <c r="A1435" s="8">
        <v>45265</v>
      </c>
      <c r="B1435" s="9" t="s">
        <v>1450</v>
      </c>
      <c r="C1435" s="9" t="s">
        <v>35</v>
      </c>
      <c r="D1435" s="9">
        <v>694.84</v>
      </c>
      <c r="E1435" s="9" t="s">
        <v>7</v>
      </c>
      <c r="F1435" s="12">
        <f>YEAR(Personal_Finance_Dataset[[#This Row],[Date]])</f>
        <v>2023</v>
      </c>
      <c r="G1435">
        <f t="shared" si="22"/>
        <v>2023</v>
      </c>
    </row>
    <row r="1436" spans="1:7" x14ac:dyDescent="0.25">
      <c r="A1436" s="8">
        <v>45266</v>
      </c>
      <c r="B1436" s="9" t="s">
        <v>1451</v>
      </c>
      <c r="C1436" s="9" t="s">
        <v>25</v>
      </c>
      <c r="D1436" s="9">
        <v>1736.06</v>
      </c>
      <c r="E1436" s="9" t="s">
        <v>7</v>
      </c>
      <c r="F1436" s="12">
        <f>YEAR(Personal_Finance_Dataset[[#This Row],[Date]])</f>
        <v>2023</v>
      </c>
      <c r="G1436">
        <f t="shared" si="22"/>
        <v>2023</v>
      </c>
    </row>
    <row r="1437" spans="1:7" x14ac:dyDescent="0.25">
      <c r="A1437" s="8">
        <v>45267</v>
      </c>
      <c r="B1437" s="9" t="s">
        <v>1452</v>
      </c>
      <c r="C1437" s="9" t="s">
        <v>22</v>
      </c>
      <c r="D1437" s="9">
        <v>1157.94</v>
      </c>
      <c r="E1437" s="9" t="s">
        <v>7</v>
      </c>
      <c r="F1437" s="12">
        <f>YEAR(Personal_Finance_Dataset[[#This Row],[Date]])</f>
        <v>2023</v>
      </c>
      <c r="G1437">
        <f t="shared" si="22"/>
        <v>2023</v>
      </c>
    </row>
    <row r="1438" spans="1:7" x14ac:dyDescent="0.25">
      <c r="A1438" s="8">
        <v>45268</v>
      </c>
      <c r="B1438" s="9" t="s">
        <v>1453</v>
      </c>
      <c r="C1438" s="9" t="s">
        <v>9</v>
      </c>
      <c r="D1438" s="9">
        <v>1958.95</v>
      </c>
      <c r="E1438" s="9" t="s">
        <v>7</v>
      </c>
      <c r="F1438" s="12">
        <f>YEAR(Personal_Finance_Dataset[[#This Row],[Date]])</f>
        <v>2023</v>
      </c>
      <c r="G1438">
        <f t="shared" si="22"/>
        <v>2023</v>
      </c>
    </row>
    <row r="1439" spans="1:7" x14ac:dyDescent="0.25">
      <c r="A1439" s="8">
        <v>45269</v>
      </c>
      <c r="B1439" s="9" t="s">
        <v>1454</v>
      </c>
      <c r="C1439" s="9" t="s">
        <v>25</v>
      </c>
      <c r="D1439" s="9">
        <v>1349.65</v>
      </c>
      <c r="E1439" s="9" t="s">
        <v>7</v>
      </c>
      <c r="F1439" s="12">
        <f>YEAR(Personal_Finance_Dataset[[#This Row],[Date]])</f>
        <v>2023</v>
      </c>
      <c r="G1439">
        <f t="shared" si="22"/>
        <v>2023</v>
      </c>
    </row>
    <row r="1440" spans="1:7" x14ac:dyDescent="0.25">
      <c r="A1440" s="8">
        <v>45270</v>
      </c>
      <c r="B1440" s="9" t="s">
        <v>1455</v>
      </c>
      <c r="C1440" s="9" t="s">
        <v>27</v>
      </c>
      <c r="D1440" s="9">
        <v>1780.37</v>
      </c>
      <c r="E1440" s="9" t="s">
        <v>7</v>
      </c>
      <c r="F1440" s="12">
        <f>YEAR(Personal_Finance_Dataset[[#This Row],[Date]])</f>
        <v>2023</v>
      </c>
      <c r="G1440">
        <f t="shared" si="22"/>
        <v>2023</v>
      </c>
    </row>
    <row r="1441" spans="1:7" x14ac:dyDescent="0.25">
      <c r="A1441" s="8">
        <v>45271</v>
      </c>
      <c r="B1441" s="9" t="s">
        <v>1456</v>
      </c>
      <c r="C1441" s="9" t="s">
        <v>35</v>
      </c>
      <c r="D1441" s="9">
        <v>932.87</v>
      </c>
      <c r="E1441" s="9" t="s">
        <v>7</v>
      </c>
      <c r="F1441" s="12">
        <f>YEAR(Personal_Finance_Dataset[[#This Row],[Date]])</f>
        <v>2023</v>
      </c>
      <c r="G1441">
        <f t="shared" si="22"/>
        <v>2023</v>
      </c>
    </row>
    <row r="1442" spans="1:7" x14ac:dyDescent="0.25">
      <c r="A1442" s="8">
        <v>45272</v>
      </c>
      <c r="B1442" s="9" t="s">
        <v>1457</v>
      </c>
      <c r="C1442" s="9" t="s">
        <v>9</v>
      </c>
      <c r="D1442" s="9">
        <v>1284.76</v>
      </c>
      <c r="E1442" s="9" t="s">
        <v>7</v>
      </c>
      <c r="F1442" s="12">
        <f>YEAR(Personal_Finance_Dataset[[#This Row],[Date]])</f>
        <v>2023</v>
      </c>
      <c r="G1442">
        <f t="shared" si="22"/>
        <v>2023</v>
      </c>
    </row>
    <row r="1443" spans="1:7" x14ac:dyDescent="0.25">
      <c r="A1443" s="8">
        <v>45273</v>
      </c>
      <c r="B1443" s="9" t="s">
        <v>1458</v>
      </c>
      <c r="C1443" s="9" t="s">
        <v>17</v>
      </c>
      <c r="D1443" s="9">
        <v>1266.23</v>
      </c>
      <c r="E1443" s="9" t="s">
        <v>7</v>
      </c>
      <c r="F1443" s="12">
        <f>YEAR(Personal_Finance_Dataset[[#This Row],[Date]])</f>
        <v>2023</v>
      </c>
      <c r="G1443">
        <f t="shared" si="22"/>
        <v>2023</v>
      </c>
    </row>
    <row r="1444" spans="1:7" x14ac:dyDescent="0.25">
      <c r="A1444" s="8">
        <v>45274</v>
      </c>
      <c r="B1444" s="9" t="s">
        <v>1459</v>
      </c>
      <c r="C1444" s="9" t="s">
        <v>11</v>
      </c>
      <c r="D1444" s="9">
        <v>167.43</v>
      </c>
      <c r="E1444" s="9" t="s">
        <v>7</v>
      </c>
      <c r="F1444" s="12">
        <f>YEAR(Personal_Finance_Dataset[[#This Row],[Date]])</f>
        <v>2023</v>
      </c>
      <c r="G1444">
        <f t="shared" si="22"/>
        <v>2023</v>
      </c>
    </row>
    <row r="1445" spans="1:7" x14ac:dyDescent="0.25">
      <c r="A1445" s="8">
        <v>45275</v>
      </c>
      <c r="B1445" s="9" t="s">
        <v>1460</v>
      </c>
      <c r="C1445" s="9" t="s">
        <v>25</v>
      </c>
      <c r="D1445" s="9">
        <v>640.59</v>
      </c>
      <c r="E1445" s="9" t="s">
        <v>7</v>
      </c>
      <c r="F1445" s="12">
        <f>YEAR(Personal_Finance_Dataset[[#This Row],[Date]])</f>
        <v>2023</v>
      </c>
      <c r="G1445">
        <f t="shared" si="22"/>
        <v>2023</v>
      </c>
    </row>
    <row r="1446" spans="1:7" x14ac:dyDescent="0.25">
      <c r="A1446" s="8">
        <v>45276</v>
      </c>
      <c r="B1446" s="9" t="s">
        <v>1461</v>
      </c>
      <c r="C1446" s="9" t="s">
        <v>35</v>
      </c>
      <c r="D1446" s="9">
        <v>1214.72</v>
      </c>
      <c r="E1446" s="9" t="s">
        <v>7</v>
      </c>
      <c r="F1446" s="12">
        <f>YEAR(Personal_Finance_Dataset[[#This Row],[Date]])</f>
        <v>2023</v>
      </c>
      <c r="G1446">
        <f t="shared" si="22"/>
        <v>2023</v>
      </c>
    </row>
    <row r="1447" spans="1:7" x14ac:dyDescent="0.25">
      <c r="A1447" s="8">
        <v>45277</v>
      </c>
      <c r="B1447" s="9" t="s">
        <v>1462</v>
      </c>
      <c r="C1447" s="9" t="s">
        <v>27</v>
      </c>
      <c r="D1447" s="9">
        <v>1564.14</v>
      </c>
      <c r="E1447" s="9" t="s">
        <v>7</v>
      </c>
      <c r="F1447" s="12">
        <f>YEAR(Personal_Finance_Dataset[[#This Row],[Date]])</f>
        <v>2023</v>
      </c>
      <c r="G1447">
        <f t="shared" si="22"/>
        <v>2023</v>
      </c>
    </row>
    <row r="1448" spans="1:7" x14ac:dyDescent="0.25">
      <c r="A1448" s="8">
        <v>45278</v>
      </c>
      <c r="B1448" s="9" t="s">
        <v>1463</v>
      </c>
      <c r="C1448" s="9" t="s">
        <v>27</v>
      </c>
      <c r="D1448" s="9">
        <v>833.84</v>
      </c>
      <c r="E1448" s="9" t="s">
        <v>7</v>
      </c>
      <c r="F1448" s="12">
        <f>YEAR(Personal_Finance_Dataset[[#This Row],[Date]])</f>
        <v>2023</v>
      </c>
      <c r="G1448">
        <f t="shared" si="22"/>
        <v>2023</v>
      </c>
    </row>
    <row r="1449" spans="1:7" x14ac:dyDescent="0.25">
      <c r="A1449" s="8">
        <v>45279</v>
      </c>
      <c r="B1449" s="9" t="s">
        <v>1464</v>
      </c>
      <c r="C1449" s="9" t="s">
        <v>13</v>
      </c>
      <c r="D1449" s="9">
        <v>1524</v>
      </c>
      <c r="E1449" s="9" t="s">
        <v>14</v>
      </c>
      <c r="F1449" s="12">
        <f>YEAR(Personal_Finance_Dataset[[#This Row],[Date]])</f>
        <v>2023</v>
      </c>
      <c r="G1449">
        <f t="shared" si="22"/>
        <v>2023</v>
      </c>
    </row>
    <row r="1450" spans="1:7" x14ac:dyDescent="0.25">
      <c r="A1450" s="8">
        <v>45280</v>
      </c>
      <c r="B1450" s="9" t="s">
        <v>1465</v>
      </c>
      <c r="C1450" s="9" t="s">
        <v>35</v>
      </c>
      <c r="D1450" s="9">
        <v>1881.47</v>
      </c>
      <c r="E1450" s="9" t="s">
        <v>7</v>
      </c>
      <c r="F1450" s="12">
        <f>YEAR(Personal_Finance_Dataset[[#This Row],[Date]])</f>
        <v>2023</v>
      </c>
      <c r="G1450">
        <f t="shared" si="22"/>
        <v>2023</v>
      </c>
    </row>
    <row r="1451" spans="1:7" x14ac:dyDescent="0.25">
      <c r="A1451" s="8">
        <v>45281</v>
      </c>
      <c r="B1451" s="9" t="s">
        <v>1466</v>
      </c>
      <c r="C1451" s="9" t="s">
        <v>11</v>
      </c>
      <c r="D1451" s="9">
        <v>429.04</v>
      </c>
      <c r="E1451" s="9" t="s">
        <v>7</v>
      </c>
      <c r="F1451" s="12">
        <f>YEAR(Personal_Finance_Dataset[[#This Row],[Date]])</f>
        <v>2023</v>
      </c>
      <c r="G1451">
        <f t="shared" si="22"/>
        <v>2023</v>
      </c>
    </row>
    <row r="1452" spans="1:7" x14ac:dyDescent="0.25">
      <c r="A1452" s="8">
        <v>45282</v>
      </c>
      <c r="B1452" s="9" t="s">
        <v>1467</v>
      </c>
      <c r="C1452" s="9" t="s">
        <v>11</v>
      </c>
      <c r="D1452" s="9">
        <v>136.94999999999999</v>
      </c>
      <c r="E1452" s="9" t="s">
        <v>7</v>
      </c>
      <c r="F1452" s="12">
        <f>YEAR(Personal_Finance_Dataset[[#This Row],[Date]])</f>
        <v>2023</v>
      </c>
      <c r="G1452">
        <f t="shared" si="22"/>
        <v>2023</v>
      </c>
    </row>
    <row r="1453" spans="1:7" x14ac:dyDescent="0.25">
      <c r="A1453" s="8">
        <v>45283</v>
      </c>
      <c r="B1453" s="9" t="s">
        <v>1468</v>
      </c>
      <c r="C1453" s="9" t="s">
        <v>6</v>
      </c>
      <c r="D1453" s="9">
        <v>62.47</v>
      </c>
      <c r="E1453" s="9" t="s">
        <v>7</v>
      </c>
      <c r="F1453" s="12">
        <f>YEAR(Personal_Finance_Dataset[[#This Row],[Date]])</f>
        <v>2023</v>
      </c>
      <c r="G1453">
        <f t="shared" si="22"/>
        <v>2023</v>
      </c>
    </row>
    <row r="1454" spans="1:7" x14ac:dyDescent="0.25">
      <c r="A1454" s="8">
        <v>45284</v>
      </c>
      <c r="B1454" s="9" t="s">
        <v>1469</v>
      </c>
      <c r="C1454" s="9" t="s">
        <v>11</v>
      </c>
      <c r="D1454" s="9">
        <v>216.82</v>
      </c>
      <c r="E1454" s="9" t="s">
        <v>7</v>
      </c>
      <c r="F1454" s="12">
        <f>YEAR(Personal_Finance_Dataset[[#This Row],[Date]])</f>
        <v>2023</v>
      </c>
      <c r="G1454">
        <f t="shared" si="22"/>
        <v>2023</v>
      </c>
    </row>
    <row r="1455" spans="1:7" x14ac:dyDescent="0.25">
      <c r="A1455" s="8">
        <v>45285</v>
      </c>
      <c r="B1455" s="9" t="s">
        <v>1470</v>
      </c>
      <c r="C1455" s="9" t="s">
        <v>11</v>
      </c>
      <c r="D1455" s="9">
        <v>1313.12</v>
      </c>
      <c r="E1455" s="9" t="s">
        <v>7</v>
      </c>
      <c r="F1455" s="12">
        <f>YEAR(Personal_Finance_Dataset[[#This Row],[Date]])</f>
        <v>2023</v>
      </c>
      <c r="G1455">
        <f t="shared" si="22"/>
        <v>2023</v>
      </c>
    </row>
    <row r="1456" spans="1:7" x14ac:dyDescent="0.25">
      <c r="A1456" s="8">
        <v>45286</v>
      </c>
      <c r="B1456" s="9" t="s">
        <v>1471</v>
      </c>
      <c r="C1456" s="9" t="s">
        <v>35</v>
      </c>
      <c r="D1456" s="9">
        <v>466.42</v>
      </c>
      <c r="E1456" s="9" t="s">
        <v>7</v>
      </c>
      <c r="F1456" s="12">
        <f>YEAR(Personal_Finance_Dataset[[#This Row],[Date]])</f>
        <v>2023</v>
      </c>
      <c r="G1456">
        <f t="shared" si="22"/>
        <v>2023</v>
      </c>
    </row>
    <row r="1457" spans="1:7" x14ac:dyDescent="0.25">
      <c r="A1457" s="8">
        <v>45287</v>
      </c>
      <c r="B1457" s="9" t="s">
        <v>1472</v>
      </c>
      <c r="C1457" s="9" t="s">
        <v>27</v>
      </c>
      <c r="D1457" s="9">
        <v>1256.7</v>
      </c>
      <c r="E1457" s="9" t="s">
        <v>7</v>
      </c>
      <c r="F1457" s="12">
        <f>YEAR(Personal_Finance_Dataset[[#This Row],[Date]])</f>
        <v>2023</v>
      </c>
      <c r="G1457">
        <f t="shared" si="22"/>
        <v>2023</v>
      </c>
    </row>
    <row r="1458" spans="1:7" x14ac:dyDescent="0.25">
      <c r="A1458" s="8">
        <v>45288</v>
      </c>
      <c r="B1458" s="9" t="s">
        <v>1473</v>
      </c>
      <c r="C1458" s="9" t="s">
        <v>13</v>
      </c>
      <c r="D1458" s="9">
        <v>734</v>
      </c>
      <c r="E1458" s="9" t="s">
        <v>14</v>
      </c>
      <c r="F1458" s="12">
        <f>YEAR(Personal_Finance_Dataset[[#This Row],[Date]])</f>
        <v>2023</v>
      </c>
      <c r="G1458">
        <f t="shared" si="22"/>
        <v>2023</v>
      </c>
    </row>
    <row r="1459" spans="1:7" x14ac:dyDescent="0.25">
      <c r="A1459" s="8">
        <v>45289</v>
      </c>
      <c r="B1459" s="9" t="s">
        <v>1474</v>
      </c>
      <c r="C1459" s="9" t="s">
        <v>20</v>
      </c>
      <c r="D1459" s="9">
        <v>3164</v>
      </c>
      <c r="E1459" s="9" t="s">
        <v>14</v>
      </c>
      <c r="F1459" s="12">
        <f>YEAR(Personal_Finance_Dataset[[#This Row],[Date]])</f>
        <v>2023</v>
      </c>
      <c r="G1459">
        <f t="shared" si="22"/>
        <v>2023</v>
      </c>
    </row>
    <row r="1460" spans="1:7" x14ac:dyDescent="0.25">
      <c r="A1460" s="8">
        <v>45290</v>
      </c>
      <c r="B1460" s="9" t="s">
        <v>1475</v>
      </c>
      <c r="C1460" s="9" t="s">
        <v>27</v>
      </c>
      <c r="D1460" s="9">
        <v>1950.21</v>
      </c>
      <c r="E1460" s="9" t="s">
        <v>7</v>
      </c>
      <c r="F1460" s="12">
        <f>YEAR(Personal_Finance_Dataset[[#This Row],[Date]])</f>
        <v>2023</v>
      </c>
      <c r="G1460">
        <f t="shared" si="22"/>
        <v>2023</v>
      </c>
    </row>
    <row r="1461" spans="1:7" x14ac:dyDescent="0.25">
      <c r="A1461" s="8">
        <v>45291</v>
      </c>
      <c r="B1461" s="9" t="s">
        <v>1476</v>
      </c>
      <c r="C1461" s="9" t="s">
        <v>35</v>
      </c>
      <c r="D1461" s="9">
        <v>1101.6099999999999</v>
      </c>
      <c r="E1461" s="9" t="s">
        <v>7</v>
      </c>
      <c r="F1461" s="12">
        <f>YEAR(Personal_Finance_Dataset[[#This Row],[Date]])</f>
        <v>2023</v>
      </c>
      <c r="G1461">
        <f t="shared" si="22"/>
        <v>2023</v>
      </c>
    </row>
    <row r="1462" spans="1:7" x14ac:dyDescent="0.25">
      <c r="A1462" s="8">
        <v>45292</v>
      </c>
      <c r="B1462" s="9" t="s">
        <v>1477</v>
      </c>
      <c r="C1462" s="9" t="s">
        <v>13</v>
      </c>
      <c r="D1462" s="9">
        <v>4240</v>
      </c>
      <c r="E1462" s="9" t="s">
        <v>14</v>
      </c>
      <c r="F1462" s="12">
        <f>YEAR(Personal_Finance_Dataset[[#This Row],[Date]])</f>
        <v>2024</v>
      </c>
      <c r="G1462">
        <f t="shared" si="22"/>
        <v>2024</v>
      </c>
    </row>
    <row r="1463" spans="1:7" x14ac:dyDescent="0.25">
      <c r="A1463" s="8">
        <v>45293</v>
      </c>
      <c r="B1463" s="9" t="s">
        <v>1478</v>
      </c>
      <c r="C1463" s="9" t="s">
        <v>17</v>
      </c>
      <c r="D1463" s="9">
        <v>1051.69</v>
      </c>
      <c r="E1463" s="9" t="s">
        <v>7</v>
      </c>
      <c r="F1463" s="12">
        <f>YEAR(Personal_Finance_Dataset[[#This Row],[Date]])</f>
        <v>2024</v>
      </c>
      <c r="G1463">
        <f t="shared" si="22"/>
        <v>2024</v>
      </c>
    </row>
    <row r="1464" spans="1:7" x14ac:dyDescent="0.25">
      <c r="A1464" s="8">
        <v>45294</v>
      </c>
      <c r="B1464" s="9" t="s">
        <v>1479</v>
      </c>
      <c r="C1464" s="9" t="s">
        <v>35</v>
      </c>
      <c r="D1464" s="9">
        <v>1818.76</v>
      </c>
      <c r="E1464" s="9" t="s">
        <v>7</v>
      </c>
      <c r="F1464" s="12">
        <f>YEAR(Personal_Finance_Dataset[[#This Row],[Date]])</f>
        <v>2024</v>
      </c>
      <c r="G1464">
        <f t="shared" si="22"/>
        <v>2024</v>
      </c>
    </row>
    <row r="1465" spans="1:7" x14ac:dyDescent="0.25">
      <c r="A1465" s="8">
        <v>45295</v>
      </c>
      <c r="B1465" s="9" t="s">
        <v>1480</v>
      </c>
      <c r="C1465" s="9" t="s">
        <v>22</v>
      </c>
      <c r="D1465" s="9">
        <v>1611.37</v>
      </c>
      <c r="E1465" s="9" t="s">
        <v>7</v>
      </c>
      <c r="F1465" s="12">
        <f>YEAR(Personal_Finance_Dataset[[#This Row],[Date]])</f>
        <v>2024</v>
      </c>
      <c r="G1465">
        <f t="shared" si="22"/>
        <v>2024</v>
      </c>
    </row>
    <row r="1466" spans="1:7" x14ac:dyDescent="0.25">
      <c r="A1466" s="8">
        <v>45296</v>
      </c>
      <c r="B1466" s="9" t="s">
        <v>1481</v>
      </c>
      <c r="C1466" s="9" t="s">
        <v>25</v>
      </c>
      <c r="D1466" s="9">
        <v>830.29</v>
      </c>
      <c r="E1466" s="9" t="s">
        <v>7</v>
      </c>
      <c r="F1466" s="12">
        <f>YEAR(Personal_Finance_Dataset[[#This Row],[Date]])</f>
        <v>2024</v>
      </c>
      <c r="G1466">
        <f t="shared" si="22"/>
        <v>2024</v>
      </c>
    </row>
    <row r="1467" spans="1:7" x14ac:dyDescent="0.25">
      <c r="A1467" s="8">
        <v>45297</v>
      </c>
      <c r="B1467" s="9" t="s">
        <v>1482</v>
      </c>
      <c r="C1467" s="9" t="s">
        <v>13</v>
      </c>
      <c r="D1467" s="9">
        <v>500</v>
      </c>
      <c r="E1467" s="9" t="s">
        <v>14</v>
      </c>
      <c r="F1467" s="12">
        <f>YEAR(Personal_Finance_Dataset[[#This Row],[Date]])</f>
        <v>2024</v>
      </c>
      <c r="G1467">
        <f t="shared" si="22"/>
        <v>2024</v>
      </c>
    </row>
    <row r="1468" spans="1:7" x14ac:dyDescent="0.25">
      <c r="A1468" s="8">
        <v>45298</v>
      </c>
      <c r="B1468" s="9" t="s">
        <v>1483</v>
      </c>
      <c r="C1468" s="9" t="s">
        <v>9</v>
      </c>
      <c r="D1468" s="9">
        <v>694.33</v>
      </c>
      <c r="E1468" s="9" t="s">
        <v>7</v>
      </c>
      <c r="F1468" s="12">
        <f>YEAR(Personal_Finance_Dataset[[#This Row],[Date]])</f>
        <v>2024</v>
      </c>
      <c r="G1468">
        <f t="shared" si="22"/>
        <v>2024</v>
      </c>
    </row>
    <row r="1469" spans="1:7" x14ac:dyDescent="0.25">
      <c r="A1469" s="8">
        <v>45299</v>
      </c>
      <c r="B1469" s="9" t="s">
        <v>1484</v>
      </c>
      <c r="C1469" s="9" t="s">
        <v>6</v>
      </c>
      <c r="D1469" s="9">
        <v>1378.66</v>
      </c>
      <c r="E1469" s="9" t="s">
        <v>7</v>
      </c>
      <c r="F1469" s="12">
        <f>YEAR(Personal_Finance_Dataset[[#This Row],[Date]])</f>
        <v>2024</v>
      </c>
      <c r="G1469">
        <f t="shared" si="22"/>
        <v>2024</v>
      </c>
    </row>
    <row r="1470" spans="1:7" x14ac:dyDescent="0.25">
      <c r="A1470" s="8">
        <v>45300</v>
      </c>
      <c r="B1470" s="9" t="s">
        <v>1485</v>
      </c>
      <c r="C1470" s="9" t="s">
        <v>27</v>
      </c>
      <c r="D1470" s="9">
        <v>606.22</v>
      </c>
      <c r="E1470" s="9" t="s">
        <v>7</v>
      </c>
      <c r="F1470" s="12">
        <f>YEAR(Personal_Finance_Dataset[[#This Row],[Date]])</f>
        <v>2024</v>
      </c>
      <c r="G1470">
        <f t="shared" si="22"/>
        <v>2024</v>
      </c>
    </row>
    <row r="1471" spans="1:7" x14ac:dyDescent="0.25">
      <c r="A1471" s="8">
        <v>45301</v>
      </c>
      <c r="B1471" s="9" t="s">
        <v>1486</v>
      </c>
      <c r="C1471" s="9" t="s">
        <v>35</v>
      </c>
      <c r="D1471" s="9">
        <v>1198.04</v>
      </c>
      <c r="E1471" s="9" t="s">
        <v>7</v>
      </c>
      <c r="F1471" s="12">
        <f>YEAR(Personal_Finance_Dataset[[#This Row],[Date]])</f>
        <v>2024</v>
      </c>
      <c r="G1471">
        <f t="shared" si="22"/>
        <v>2024</v>
      </c>
    </row>
    <row r="1472" spans="1:7" x14ac:dyDescent="0.25">
      <c r="A1472" s="8">
        <v>45302</v>
      </c>
      <c r="B1472" s="9" t="s">
        <v>1487</v>
      </c>
      <c r="C1472" s="9" t="s">
        <v>25</v>
      </c>
      <c r="D1472" s="9">
        <v>385.26</v>
      </c>
      <c r="E1472" s="9" t="s">
        <v>7</v>
      </c>
      <c r="F1472" s="12">
        <f>YEAR(Personal_Finance_Dataset[[#This Row],[Date]])</f>
        <v>2024</v>
      </c>
      <c r="G1472">
        <f t="shared" si="22"/>
        <v>2024</v>
      </c>
    </row>
    <row r="1473" spans="1:7" x14ac:dyDescent="0.25">
      <c r="A1473" s="8">
        <v>45303</v>
      </c>
      <c r="B1473" s="9" t="s">
        <v>1488</v>
      </c>
      <c r="C1473" s="9" t="s">
        <v>17</v>
      </c>
      <c r="D1473" s="9">
        <v>795.56</v>
      </c>
      <c r="E1473" s="9" t="s">
        <v>7</v>
      </c>
      <c r="F1473" s="12">
        <f>YEAR(Personal_Finance_Dataset[[#This Row],[Date]])</f>
        <v>2024</v>
      </c>
      <c r="G1473">
        <f t="shared" si="22"/>
        <v>2024</v>
      </c>
    </row>
    <row r="1474" spans="1:7" x14ac:dyDescent="0.25">
      <c r="A1474" s="8">
        <v>45304</v>
      </c>
      <c r="B1474" s="9" t="s">
        <v>1489</v>
      </c>
      <c r="C1474" s="9" t="s">
        <v>20</v>
      </c>
      <c r="D1474" s="9">
        <v>3599</v>
      </c>
      <c r="E1474" s="9" t="s">
        <v>14</v>
      </c>
      <c r="F1474" s="12">
        <f>YEAR(Personal_Finance_Dataset[[#This Row],[Date]])</f>
        <v>2024</v>
      </c>
      <c r="G1474">
        <f t="shared" ref="G1474:G1501" si="23">YEAR(A1474)</f>
        <v>2024</v>
      </c>
    </row>
    <row r="1475" spans="1:7" x14ac:dyDescent="0.25">
      <c r="A1475" s="8">
        <v>45305</v>
      </c>
      <c r="B1475" s="9" t="s">
        <v>1490</v>
      </c>
      <c r="C1475" s="9" t="s">
        <v>11</v>
      </c>
      <c r="D1475" s="9">
        <v>850.26</v>
      </c>
      <c r="E1475" s="9" t="s">
        <v>7</v>
      </c>
      <c r="F1475" s="12">
        <f>YEAR(Personal_Finance_Dataset[[#This Row],[Date]])</f>
        <v>2024</v>
      </c>
      <c r="G1475">
        <f t="shared" si="23"/>
        <v>2024</v>
      </c>
    </row>
    <row r="1476" spans="1:7" x14ac:dyDescent="0.25">
      <c r="A1476" s="8">
        <v>45306</v>
      </c>
      <c r="B1476" s="9" t="s">
        <v>1491</v>
      </c>
      <c r="C1476" s="9" t="s">
        <v>35</v>
      </c>
      <c r="D1476" s="9">
        <v>576.51</v>
      </c>
      <c r="E1476" s="9" t="s">
        <v>7</v>
      </c>
      <c r="F1476" s="12">
        <f>YEAR(Personal_Finance_Dataset[[#This Row],[Date]])</f>
        <v>2024</v>
      </c>
      <c r="G1476">
        <f t="shared" si="23"/>
        <v>2024</v>
      </c>
    </row>
    <row r="1477" spans="1:7" x14ac:dyDescent="0.25">
      <c r="A1477" s="8">
        <v>45307</v>
      </c>
      <c r="B1477" s="9" t="s">
        <v>1492</v>
      </c>
      <c r="C1477" s="9" t="s">
        <v>35</v>
      </c>
      <c r="D1477" s="9">
        <v>831.68</v>
      </c>
      <c r="E1477" s="9" t="s">
        <v>7</v>
      </c>
      <c r="F1477" s="12">
        <f>YEAR(Personal_Finance_Dataset[[#This Row],[Date]])</f>
        <v>2024</v>
      </c>
      <c r="G1477">
        <f t="shared" si="23"/>
        <v>2024</v>
      </c>
    </row>
    <row r="1478" spans="1:7" x14ac:dyDescent="0.25">
      <c r="A1478" s="8">
        <v>45308</v>
      </c>
      <c r="B1478" s="9" t="s">
        <v>1493</v>
      </c>
      <c r="C1478" s="9" t="s">
        <v>9</v>
      </c>
      <c r="D1478" s="9">
        <v>281.88</v>
      </c>
      <c r="E1478" s="9" t="s">
        <v>7</v>
      </c>
      <c r="F1478" s="12">
        <f>YEAR(Personal_Finance_Dataset[[#This Row],[Date]])</f>
        <v>2024</v>
      </c>
      <c r="G1478">
        <f t="shared" si="23"/>
        <v>2024</v>
      </c>
    </row>
    <row r="1479" spans="1:7" x14ac:dyDescent="0.25">
      <c r="A1479" s="8">
        <v>45309</v>
      </c>
      <c r="B1479" s="9" t="s">
        <v>1494</v>
      </c>
      <c r="C1479" s="9" t="s">
        <v>20</v>
      </c>
      <c r="D1479" s="9">
        <v>4209</v>
      </c>
      <c r="E1479" s="9" t="s">
        <v>14</v>
      </c>
      <c r="F1479" s="12">
        <f>YEAR(Personal_Finance_Dataset[[#This Row],[Date]])</f>
        <v>2024</v>
      </c>
      <c r="G1479">
        <f t="shared" si="23"/>
        <v>2024</v>
      </c>
    </row>
    <row r="1480" spans="1:7" x14ac:dyDescent="0.25">
      <c r="A1480" s="8">
        <v>45310</v>
      </c>
      <c r="B1480" s="9" t="s">
        <v>1495</v>
      </c>
      <c r="C1480" s="9" t="s">
        <v>27</v>
      </c>
      <c r="D1480" s="9">
        <v>383.7</v>
      </c>
      <c r="E1480" s="9" t="s">
        <v>7</v>
      </c>
      <c r="F1480" s="12">
        <f>YEAR(Personal_Finance_Dataset[[#This Row],[Date]])</f>
        <v>2024</v>
      </c>
      <c r="G1480">
        <f t="shared" si="23"/>
        <v>2024</v>
      </c>
    </row>
    <row r="1481" spans="1:7" x14ac:dyDescent="0.25">
      <c r="A1481" s="8">
        <v>45311</v>
      </c>
      <c r="B1481" s="9" t="s">
        <v>1496</v>
      </c>
      <c r="C1481" s="9" t="s">
        <v>13</v>
      </c>
      <c r="D1481" s="9">
        <v>4882</v>
      </c>
      <c r="E1481" s="9" t="s">
        <v>14</v>
      </c>
      <c r="F1481" s="12">
        <f>YEAR(Personal_Finance_Dataset[[#This Row],[Date]])</f>
        <v>2024</v>
      </c>
      <c r="G1481">
        <f t="shared" si="23"/>
        <v>2024</v>
      </c>
    </row>
    <row r="1482" spans="1:7" x14ac:dyDescent="0.25">
      <c r="A1482" s="8">
        <v>45312</v>
      </c>
      <c r="B1482" s="9" t="s">
        <v>1497</v>
      </c>
      <c r="C1482" s="9" t="s">
        <v>13</v>
      </c>
      <c r="D1482" s="9">
        <v>2811</v>
      </c>
      <c r="E1482" s="9" t="s">
        <v>14</v>
      </c>
      <c r="F1482" s="12">
        <f>YEAR(Personal_Finance_Dataset[[#This Row],[Date]])</f>
        <v>2024</v>
      </c>
      <c r="G1482">
        <f t="shared" si="23"/>
        <v>2024</v>
      </c>
    </row>
    <row r="1483" spans="1:7" x14ac:dyDescent="0.25">
      <c r="A1483" s="8">
        <v>45313</v>
      </c>
      <c r="B1483" s="9" t="s">
        <v>1498</v>
      </c>
      <c r="C1483" s="9" t="s">
        <v>27</v>
      </c>
      <c r="D1483" s="9">
        <v>1456.94</v>
      </c>
      <c r="E1483" s="9" t="s">
        <v>7</v>
      </c>
      <c r="F1483" s="12">
        <f>YEAR(Personal_Finance_Dataset[[#This Row],[Date]])</f>
        <v>2024</v>
      </c>
      <c r="G1483">
        <f t="shared" si="23"/>
        <v>2024</v>
      </c>
    </row>
    <row r="1484" spans="1:7" x14ac:dyDescent="0.25">
      <c r="A1484" s="8">
        <v>45314</v>
      </c>
      <c r="B1484" s="9" t="s">
        <v>1499</v>
      </c>
      <c r="C1484" s="9" t="s">
        <v>9</v>
      </c>
      <c r="D1484" s="9">
        <v>39.299999999999997</v>
      </c>
      <c r="E1484" s="9" t="s">
        <v>7</v>
      </c>
      <c r="F1484" s="12">
        <f>YEAR(Personal_Finance_Dataset[[#This Row],[Date]])</f>
        <v>2024</v>
      </c>
      <c r="G1484">
        <f t="shared" si="23"/>
        <v>2024</v>
      </c>
    </row>
    <row r="1485" spans="1:7" x14ac:dyDescent="0.25">
      <c r="A1485" s="8">
        <v>45315</v>
      </c>
      <c r="B1485" s="9" t="s">
        <v>1500</v>
      </c>
      <c r="C1485" s="9" t="s">
        <v>17</v>
      </c>
      <c r="D1485" s="9">
        <v>630.04</v>
      </c>
      <c r="E1485" s="9" t="s">
        <v>7</v>
      </c>
      <c r="F1485" s="12">
        <f>YEAR(Personal_Finance_Dataset[[#This Row],[Date]])</f>
        <v>2024</v>
      </c>
      <c r="G1485">
        <f t="shared" si="23"/>
        <v>2024</v>
      </c>
    </row>
    <row r="1486" spans="1:7" x14ac:dyDescent="0.25">
      <c r="A1486" s="8">
        <v>45316</v>
      </c>
      <c r="B1486" s="9" t="s">
        <v>1501</v>
      </c>
      <c r="C1486" s="9" t="s">
        <v>25</v>
      </c>
      <c r="D1486" s="9">
        <v>932.73</v>
      </c>
      <c r="E1486" s="9" t="s">
        <v>7</v>
      </c>
      <c r="F1486" s="12">
        <f>YEAR(Personal_Finance_Dataset[[#This Row],[Date]])</f>
        <v>2024</v>
      </c>
      <c r="G1486">
        <f t="shared" si="23"/>
        <v>2024</v>
      </c>
    </row>
    <row r="1487" spans="1:7" x14ac:dyDescent="0.25">
      <c r="A1487" s="8">
        <v>45317</v>
      </c>
      <c r="B1487" s="9" t="s">
        <v>1502</v>
      </c>
      <c r="C1487" s="9" t="s">
        <v>25</v>
      </c>
      <c r="D1487" s="9">
        <v>169.64</v>
      </c>
      <c r="E1487" s="9" t="s">
        <v>7</v>
      </c>
      <c r="F1487" s="12">
        <f>YEAR(Personal_Finance_Dataset[[#This Row],[Date]])</f>
        <v>2024</v>
      </c>
      <c r="G1487">
        <f t="shared" si="23"/>
        <v>2024</v>
      </c>
    </row>
    <row r="1488" spans="1:7" x14ac:dyDescent="0.25">
      <c r="A1488" s="8">
        <v>45318</v>
      </c>
      <c r="B1488" s="9" t="s">
        <v>1503</v>
      </c>
      <c r="C1488" s="9" t="s">
        <v>9</v>
      </c>
      <c r="D1488" s="9">
        <v>121.52</v>
      </c>
      <c r="E1488" s="9" t="s">
        <v>7</v>
      </c>
      <c r="F1488" s="12">
        <f>YEAR(Personal_Finance_Dataset[[#This Row],[Date]])</f>
        <v>2024</v>
      </c>
      <c r="G1488">
        <f t="shared" si="23"/>
        <v>2024</v>
      </c>
    </row>
    <row r="1489" spans="1:7" x14ac:dyDescent="0.25">
      <c r="A1489" s="8">
        <v>45319</v>
      </c>
      <c r="B1489" s="9" t="s">
        <v>1504</v>
      </c>
      <c r="C1489" s="9" t="s">
        <v>11</v>
      </c>
      <c r="D1489" s="9">
        <v>1090.95</v>
      </c>
      <c r="E1489" s="9" t="s">
        <v>7</v>
      </c>
      <c r="F1489" s="12">
        <f>YEAR(Personal_Finance_Dataset[[#This Row],[Date]])</f>
        <v>2024</v>
      </c>
      <c r="G1489">
        <f t="shared" si="23"/>
        <v>2024</v>
      </c>
    </row>
    <row r="1490" spans="1:7" x14ac:dyDescent="0.25">
      <c r="A1490" s="8">
        <v>45320</v>
      </c>
      <c r="B1490" s="9" t="s">
        <v>1505</v>
      </c>
      <c r="C1490" s="9" t="s">
        <v>20</v>
      </c>
      <c r="D1490" s="9">
        <v>3625</v>
      </c>
      <c r="E1490" s="9" t="s">
        <v>14</v>
      </c>
      <c r="F1490" s="12">
        <f>YEAR(Personal_Finance_Dataset[[#This Row],[Date]])</f>
        <v>2024</v>
      </c>
      <c r="G1490">
        <f t="shared" si="23"/>
        <v>2024</v>
      </c>
    </row>
    <row r="1491" spans="1:7" x14ac:dyDescent="0.25">
      <c r="A1491" s="8">
        <v>45321</v>
      </c>
      <c r="B1491" s="9" t="s">
        <v>1506</v>
      </c>
      <c r="C1491" s="9" t="s">
        <v>11</v>
      </c>
      <c r="D1491" s="9">
        <v>1949.45</v>
      </c>
      <c r="E1491" s="9" t="s">
        <v>7</v>
      </c>
      <c r="F1491" s="12">
        <f>YEAR(Personal_Finance_Dataset[[#This Row],[Date]])</f>
        <v>2024</v>
      </c>
      <c r="G1491">
        <f t="shared" si="23"/>
        <v>2024</v>
      </c>
    </row>
    <row r="1492" spans="1:7" x14ac:dyDescent="0.25">
      <c r="A1492" s="8">
        <v>45322</v>
      </c>
      <c r="B1492" s="9" t="s">
        <v>1507</v>
      </c>
      <c r="C1492" s="9" t="s">
        <v>17</v>
      </c>
      <c r="D1492" s="9">
        <v>1544.74</v>
      </c>
      <c r="E1492" s="9" t="s">
        <v>7</v>
      </c>
      <c r="F1492" s="12">
        <f>YEAR(Personal_Finance_Dataset[[#This Row],[Date]])</f>
        <v>2024</v>
      </c>
      <c r="G1492">
        <f t="shared" si="23"/>
        <v>2024</v>
      </c>
    </row>
    <row r="1493" spans="1:7" x14ac:dyDescent="0.25">
      <c r="A1493" s="8">
        <v>45323</v>
      </c>
      <c r="B1493" s="9" t="s">
        <v>1508</v>
      </c>
      <c r="C1493" s="9" t="s">
        <v>6</v>
      </c>
      <c r="D1493" s="9">
        <v>406.37</v>
      </c>
      <c r="E1493" s="9" t="s">
        <v>7</v>
      </c>
      <c r="F1493" s="12">
        <f>YEAR(Personal_Finance_Dataset[[#This Row],[Date]])</f>
        <v>2024</v>
      </c>
      <c r="G1493">
        <f t="shared" si="23"/>
        <v>2024</v>
      </c>
    </row>
    <row r="1494" spans="1:7" x14ac:dyDescent="0.25">
      <c r="A1494" s="8">
        <v>45324</v>
      </c>
      <c r="B1494" s="9" t="s">
        <v>1509</v>
      </c>
      <c r="C1494" s="9" t="s">
        <v>11</v>
      </c>
      <c r="D1494" s="9">
        <v>1047.07</v>
      </c>
      <c r="E1494" s="9" t="s">
        <v>7</v>
      </c>
      <c r="F1494" s="12">
        <f>YEAR(Personal_Finance_Dataset[[#This Row],[Date]])</f>
        <v>2024</v>
      </c>
      <c r="G1494">
        <f t="shared" si="23"/>
        <v>2024</v>
      </c>
    </row>
    <row r="1495" spans="1:7" x14ac:dyDescent="0.25">
      <c r="A1495" s="8">
        <v>45325</v>
      </c>
      <c r="B1495" s="9" t="s">
        <v>1510</v>
      </c>
      <c r="C1495" s="9" t="s">
        <v>27</v>
      </c>
      <c r="D1495" s="9">
        <v>784.35</v>
      </c>
      <c r="E1495" s="9" t="s">
        <v>7</v>
      </c>
      <c r="F1495" s="12">
        <f>YEAR(Personal_Finance_Dataset[[#This Row],[Date]])</f>
        <v>2024</v>
      </c>
      <c r="G1495">
        <f t="shared" si="23"/>
        <v>2024</v>
      </c>
    </row>
    <row r="1496" spans="1:7" x14ac:dyDescent="0.25">
      <c r="A1496" s="8">
        <v>45326</v>
      </c>
      <c r="B1496" s="9" t="s">
        <v>1511</v>
      </c>
      <c r="C1496" s="9" t="s">
        <v>25</v>
      </c>
      <c r="D1496" s="9">
        <v>325.64</v>
      </c>
      <c r="E1496" s="9" t="s">
        <v>7</v>
      </c>
      <c r="F1496" s="12">
        <f>YEAR(Personal_Finance_Dataset[[#This Row],[Date]])</f>
        <v>2024</v>
      </c>
      <c r="G1496">
        <f t="shared" si="23"/>
        <v>2024</v>
      </c>
    </row>
    <row r="1497" spans="1:7" x14ac:dyDescent="0.25">
      <c r="A1497" s="8">
        <v>45327</v>
      </c>
      <c r="B1497" s="9" t="s">
        <v>1512</v>
      </c>
      <c r="C1497" s="9" t="s">
        <v>11</v>
      </c>
      <c r="D1497" s="9">
        <v>514.09</v>
      </c>
      <c r="E1497" s="9" t="s">
        <v>7</v>
      </c>
      <c r="F1497" s="12">
        <f>YEAR(Personal_Finance_Dataset[[#This Row],[Date]])</f>
        <v>2024</v>
      </c>
      <c r="G1497">
        <f t="shared" si="23"/>
        <v>2024</v>
      </c>
    </row>
    <row r="1498" spans="1:7" x14ac:dyDescent="0.25">
      <c r="A1498" s="8">
        <v>45328</v>
      </c>
      <c r="B1498" s="9" t="s">
        <v>1513</v>
      </c>
      <c r="C1498" s="9" t="s">
        <v>22</v>
      </c>
      <c r="D1498" s="9">
        <v>727.25</v>
      </c>
      <c r="E1498" s="9" t="s">
        <v>7</v>
      </c>
      <c r="F1498" s="12">
        <f>YEAR(Personal_Finance_Dataset[[#This Row],[Date]])</f>
        <v>2024</v>
      </c>
      <c r="G1498">
        <f t="shared" si="23"/>
        <v>2024</v>
      </c>
    </row>
    <row r="1499" spans="1:7" x14ac:dyDescent="0.25">
      <c r="A1499" s="8">
        <v>45329</v>
      </c>
      <c r="B1499" s="9" t="s">
        <v>1514</v>
      </c>
      <c r="C1499" s="9" t="s">
        <v>13</v>
      </c>
      <c r="D1499" s="9">
        <v>1425</v>
      </c>
      <c r="E1499" s="9" t="s">
        <v>14</v>
      </c>
      <c r="F1499" s="12">
        <f>YEAR(Personal_Finance_Dataset[[#This Row],[Date]])</f>
        <v>2024</v>
      </c>
      <c r="G1499">
        <f t="shared" si="23"/>
        <v>2024</v>
      </c>
    </row>
    <row r="1500" spans="1:7" x14ac:dyDescent="0.25">
      <c r="A1500" s="8">
        <v>45330</v>
      </c>
      <c r="B1500" s="9" t="s">
        <v>1515</v>
      </c>
      <c r="C1500" s="9" t="s">
        <v>17</v>
      </c>
      <c r="D1500" s="9">
        <v>655.78</v>
      </c>
      <c r="E1500" s="9" t="s">
        <v>7</v>
      </c>
      <c r="F1500" s="12">
        <f>YEAR(Personal_Finance_Dataset[[#This Row],[Date]])</f>
        <v>2024</v>
      </c>
      <c r="G1500">
        <f t="shared" si="23"/>
        <v>2024</v>
      </c>
    </row>
    <row r="1501" spans="1:7" x14ac:dyDescent="0.25">
      <c r="A1501" s="8">
        <v>45331</v>
      </c>
      <c r="B1501" s="9" t="s">
        <v>1516</v>
      </c>
      <c r="C1501" s="9" t="s">
        <v>20</v>
      </c>
      <c r="D1501" s="9">
        <v>1480</v>
      </c>
      <c r="E1501" s="9" t="s">
        <v>14</v>
      </c>
      <c r="F1501" s="13">
        <f>YEAR(Personal_Finance_Dataset[[#This Row],[Date]])</f>
        <v>2024</v>
      </c>
      <c r="G1501">
        <f t="shared" si="23"/>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35CE-1B1C-4E5F-AA1B-ED63A372CE49}">
  <dimension ref="A1"/>
  <sheetViews>
    <sheetView showGridLines="0" showRowColHeaders="0" zoomScale="110" zoomScaleNormal="110" workbookViewId="0"/>
  </sheetViews>
  <sheetFormatPr defaultRowHeight="15" x14ac:dyDescent="0.25"/>
  <cols>
    <col min="1" max="16384" width="9.140625" style="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809D-E0DD-4869-A118-2E89041872C7}">
  <dimension ref="AG30"/>
  <sheetViews>
    <sheetView showGridLines="0" showRowColHeaders="0" zoomScale="110" zoomScaleNormal="110" workbookViewId="0"/>
  </sheetViews>
  <sheetFormatPr defaultRowHeight="15" x14ac:dyDescent="0.25"/>
  <cols>
    <col min="1" max="16384" width="9.140625" style="20"/>
  </cols>
  <sheetData>
    <row r="30" spans="33:33" x14ac:dyDescent="0.25">
      <c r="AG30"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0AA3-B224-4842-97AC-E6868024EBB8}">
  <dimension ref="A1"/>
  <sheetViews>
    <sheetView showGridLines="0" tabSelected="1" zoomScale="110" zoomScaleNormal="110" workbookViewId="0"/>
  </sheetViews>
  <sheetFormatPr defaultRowHeight="15" x14ac:dyDescent="0.25"/>
  <cols>
    <col min="1" max="16384" width="9.140625" style="25"/>
  </cols>
  <sheetData>
    <row r="1" spans="1:1" x14ac:dyDescent="0.25">
      <c r="A1" s="2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6CF5-1D7A-4DBF-8504-9188A4F7366C}">
  <dimension ref="A1:B3"/>
  <sheetViews>
    <sheetView workbookViewId="0">
      <selection activeCell="C21" sqref="C21"/>
    </sheetView>
  </sheetViews>
  <sheetFormatPr defaultRowHeight="15" x14ac:dyDescent="0.25"/>
  <cols>
    <col min="1" max="1" width="13.140625" bestFit="1" customWidth="1"/>
    <col min="2" max="2" width="14.85546875" bestFit="1" customWidth="1"/>
  </cols>
  <sheetData>
    <row r="1" spans="1:2" x14ac:dyDescent="0.25">
      <c r="A1" s="5" t="s">
        <v>1521</v>
      </c>
      <c r="B1" t="s">
        <v>1518</v>
      </c>
    </row>
    <row r="2" spans="1:2" x14ac:dyDescent="0.25">
      <c r="A2" s="10" t="s">
        <v>1534</v>
      </c>
      <c r="B2">
        <v>272728.66000000003</v>
      </c>
    </row>
    <row r="3" spans="1:2" x14ac:dyDescent="0.25">
      <c r="A3" s="10" t="s">
        <v>1522</v>
      </c>
      <c r="B3">
        <v>272728.66000000003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9F2C6-F7F7-4855-8AB7-1E6C3C69C972}">
  <dimension ref="A1:D61"/>
  <sheetViews>
    <sheetView workbookViewId="0">
      <selection activeCell="D77" sqref="D77"/>
    </sheetView>
  </sheetViews>
  <sheetFormatPr defaultRowHeight="15" x14ac:dyDescent="0.25"/>
  <cols>
    <col min="1" max="1" width="14.7109375" customWidth="1"/>
    <col min="2" max="2" width="16.140625" style="17" customWidth="1"/>
    <col min="3" max="3" width="13.5703125" bestFit="1" customWidth="1"/>
    <col min="4" max="4" width="23.85546875" customWidth="1"/>
  </cols>
  <sheetData>
    <row r="1" spans="1:4" x14ac:dyDescent="0.25">
      <c r="A1" t="s">
        <v>1520</v>
      </c>
      <c r="B1" s="17" t="s">
        <v>1523</v>
      </c>
      <c r="C1" t="s">
        <v>1524</v>
      </c>
      <c r="D1" t="s">
        <v>1525</v>
      </c>
    </row>
    <row r="2" spans="1:4" x14ac:dyDescent="0.25">
      <c r="A2">
        <v>2020</v>
      </c>
      <c r="B2" s="14">
        <v>46023</v>
      </c>
      <c r="C2">
        <v>1</v>
      </c>
      <c r="D2"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27203.010000000006</v>
      </c>
    </row>
    <row r="3" spans="1:4" x14ac:dyDescent="0.25">
      <c r="A3">
        <v>2020</v>
      </c>
      <c r="B3" s="14">
        <v>46055</v>
      </c>
      <c r="C3">
        <v>2</v>
      </c>
      <c r="D3"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23909.760000000002</v>
      </c>
    </row>
    <row r="4" spans="1:4" x14ac:dyDescent="0.25">
      <c r="A4">
        <v>2020</v>
      </c>
      <c r="B4" s="14">
        <v>46084</v>
      </c>
      <c r="C4">
        <v>3</v>
      </c>
      <c r="D4"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23367.230000000003</v>
      </c>
    </row>
    <row r="5" spans="1:4" x14ac:dyDescent="0.25">
      <c r="A5">
        <v>2020</v>
      </c>
      <c r="B5" s="14">
        <v>46116</v>
      </c>
      <c r="C5">
        <v>4</v>
      </c>
      <c r="D5"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24687.57</v>
      </c>
    </row>
    <row r="6" spans="1:4" x14ac:dyDescent="0.25">
      <c r="A6">
        <v>2020</v>
      </c>
      <c r="B6" s="14">
        <v>46147</v>
      </c>
      <c r="C6">
        <v>5</v>
      </c>
      <c r="D6"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28537.490000000005</v>
      </c>
    </row>
    <row r="7" spans="1:4" x14ac:dyDescent="0.25">
      <c r="A7">
        <v>2020</v>
      </c>
      <c r="B7" s="14">
        <v>46179</v>
      </c>
      <c r="C7">
        <v>6</v>
      </c>
      <c r="D7"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30854.190000000002</v>
      </c>
    </row>
    <row r="8" spans="1:4" x14ac:dyDescent="0.25">
      <c r="A8">
        <v>2020</v>
      </c>
      <c r="B8" s="14">
        <v>46210</v>
      </c>
      <c r="C8">
        <v>7</v>
      </c>
      <c r="D8"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23468.719999999994</v>
      </c>
    </row>
    <row r="9" spans="1:4" x14ac:dyDescent="0.25">
      <c r="A9">
        <v>2020</v>
      </c>
      <c r="B9" s="14">
        <v>46242</v>
      </c>
      <c r="C9">
        <v>8</v>
      </c>
      <c r="D9"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28133.630000000005</v>
      </c>
    </row>
    <row r="10" spans="1:4" x14ac:dyDescent="0.25">
      <c r="A10">
        <v>2020</v>
      </c>
      <c r="B10" s="14">
        <v>46274</v>
      </c>
      <c r="C10">
        <v>9</v>
      </c>
      <c r="D10"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28054.339999999997</v>
      </c>
    </row>
    <row r="11" spans="1:4" x14ac:dyDescent="0.25">
      <c r="A11">
        <v>2020</v>
      </c>
      <c r="B11" s="14">
        <v>46305</v>
      </c>
      <c r="C11">
        <v>10</v>
      </c>
      <c r="D11"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24906.61</v>
      </c>
    </row>
    <row r="12" spans="1:4" x14ac:dyDescent="0.25">
      <c r="A12">
        <v>2020</v>
      </c>
      <c r="B12" s="14">
        <v>46337</v>
      </c>
      <c r="C12">
        <v>11</v>
      </c>
      <c r="D12"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28392.650000000009</v>
      </c>
    </row>
    <row r="13" spans="1:4" x14ac:dyDescent="0.25">
      <c r="A13">
        <v>2020</v>
      </c>
      <c r="B13" s="14">
        <v>46368</v>
      </c>
      <c r="C13">
        <v>12</v>
      </c>
      <c r="D13"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21677.14</v>
      </c>
    </row>
    <row r="14" spans="1:4" hidden="1" x14ac:dyDescent="0.25">
      <c r="A14">
        <v>2021</v>
      </c>
      <c r="B14" s="14">
        <v>46023</v>
      </c>
      <c r="C14">
        <v>1</v>
      </c>
      <c r="D14"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28916.41</v>
      </c>
    </row>
    <row r="15" spans="1:4" hidden="1" x14ac:dyDescent="0.25">
      <c r="A15">
        <v>2021</v>
      </c>
      <c r="B15" s="14">
        <v>46055</v>
      </c>
      <c r="C15">
        <v>2</v>
      </c>
      <c r="D15"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24424.05</v>
      </c>
    </row>
    <row r="16" spans="1:4" hidden="1" x14ac:dyDescent="0.25">
      <c r="A16">
        <v>2021</v>
      </c>
      <c r="B16" s="14">
        <v>46084</v>
      </c>
      <c r="C16">
        <v>3</v>
      </c>
      <c r="D16"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28839.48</v>
      </c>
    </row>
    <row r="17" spans="1:4" hidden="1" x14ac:dyDescent="0.25">
      <c r="A17">
        <v>2021</v>
      </c>
      <c r="B17" s="14">
        <v>46116</v>
      </c>
      <c r="C17">
        <v>4</v>
      </c>
      <c r="D17"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19360.36</v>
      </c>
    </row>
    <row r="18" spans="1:4" hidden="1" x14ac:dyDescent="0.25">
      <c r="A18">
        <v>2021</v>
      </c>
      <c r="B18" s="14">
        <v>46147</v>
      </c>
      <c r="C18">
        <v>5</v>
      </c>
      <c r="D18"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23648.429999999997</v>
      </c>
    </row>
    <row r="19" spans="1:4" hidden="1" x14ac:dyDescent="0.25">
      <c r="A19">
        <v>2021</v>
      </c>
      <c r="B19" s="14">
        <v>46179</v>
      </c>
      <c r="C19">
        <v>6</v>
      </c>
      <c r="D19"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24088.600000000002</v>
      </c>
    </row>
    <row r="20" spans="1:4" hidden="1" x14ac:dyDescent="0.25">
      <c r="A20">
        <v>2021</v>
      </c>
      <c r="B20" s="14">
        <v>46210</v>
      </c>
      <c r="C20">
        <v>7</v>
      </c>
      <c r="D20"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17851</v>
      </c>
    </row>
    <row r="21" spans="1:4" hidden="1" x14ac:dyDescent="0.25">
      <c r="A21">
        <v>2021</v>
      </c>
      <c r="B21" s="14">
        <v>46242</v>
      </c>
      <c r="C21">
        <v>8</v>
      </c>
      <c r="D21"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29749.790000000005</v>
      </c>
    </row>
    <row r="22" spans="1:4" hidden="1" x14ac:dyDescent="0.25">
      <c r="A22">
        <v>2021</v>
      </c>
      <c r="B22" s="14">
        <v>46274</v>
      </c>
      <c r="C22">
        <v>9</v>
      </c>
      <c r="D22"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25492.619999999995</v>
      </c>
    </row>
    <row r="23" spans="1:4" hidden="1" x14ac:dyDescent="0.25">
      <c r="A23">
        <v>2021</v>
      </c>
      <c r="B23" s="14">
        <v>46305</v>
      </c>
      <c r="C23">
        <v>10</v>
      </c>
      <c r="D23"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25636.719999999998</v>
      </c>
    </row>
    <row r="24" spans="1:4" hidden="1" x14ac:dyDescent="0.25">
      <c r="A24">
        <v>2021</v>
      </c>
      <c r="B24" s="14">
        <v>46337</v>
      </c>
      <c r="C24">
        <v>11</v>
      </c>
      <c r="D24"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31442.229999999996</v>
      </c>
    </row>
    <row r="25" spans="1:4" hidden="1" x14ac:dyDescent="0.25">
      <c r="A25">
        <v>2021</v>
      </c>
      <c r="B25" s="14">
        <v>46368</v>
      </c>
      <c r="C25">
        <v>12</v>
      </c>
      <c r="D25"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26443.38</v>
      </c>
    </row>
    <row r="26" spans="1:4" hidden="1" x14ac:dyDescent="0.25">
      <c r="A26">
        <v>2022</v>
      </c>
      <c r="B26" s="14">
        <v>46023</v>
      </c>
      <c r="C26">
        <v>1</v>
      </c>
      <c r="D26"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22672.730000000003</v>
      </c>
    </row>
    <row r="27" spans="1:4" hidden="1" x14ac:dyDescent="0.25">
      <c r="A27">
        <v>2022</v>
      </c>
      <c r="B27" s="14">
        <v>46055</v>
      </c>
      <c r="C27">
        <v>2</v>
      </c>
      <c r="D27"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23991.8</v>
      </c>
    </row>
    <row r="28" spans="1:4" hidden="1" x14ac:dyDescent="0.25">
      <c r="A28">
        <v>2022</v>
      </c>
      <c r="B28" s="14">
        <v>46084</v>
      </c>
      <c r="C28">
        <v>3</v>
      </c>
      <c r="D28"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21785.17</v>
      </c>
    </row>
    <row r="29" spans="1:4" hidden="1" x14ac:dyDescent="0.25">
      <c r="A29">
        <v>2022</v>
      </c>
      <c r="B29" s="14">
        <v>46116</v>
      </c>
      <c r="C29">
        <v>4</v>
      </c>
      <c r="D29"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27411.459999999995</v>
      </c>
    </row>
    <row r="30" spans="1:4" hidden="1" x14ac:dyDescent="0.25">
      <c r="A30">
        <v>2022</v>
      </c>
      <c r="B30" s="14">
        <v>46147</v>
      </c>
      <c r="C30">
        <v>5</v>
      </c>
      <c r="D30"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21497.210000000006</v>
      </c>
    </row>
    <row r="31" spans="1:4" hidden="1" x14ac:dyDescent="0.25">
      <c r="A31">
        <v>2022</v>
      </c>
      <c r="B31" s="14">
        <v>46179</v>
      </c>
      <c r="C31">
        <v>6</v>
      </c>
      <c r="D31"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21745.849999999995</v>
      </c>
    </row>
    <row r="32" spans="1:4" hidden="1" x14ac:dyDescent="0.25">
      <c r="A32">
        <v>2022</v>
      </c>
      <c r="B32" s="14">
        <v>46210</v>
      </c>
      <c r="C32">
        <v>7</v>
      </c>
      <c r="D32"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22672.28</v>
      </c>
    </row>
    <row r="33" spans="1:4" hidden="1" x14ac:dyDescent="0.25">
      <c r="A33">
        <v>2022</v>
      </c>
      <c r="B33" s="14">
        <v>46242</v>
      </c>
      <c r="C33">
        <v>8</v>
      </c>
      <c r="D33"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18672.23</v>
      </c>
    </row>
    <row r="34" spans="1:4" hidden="1" x14ac:dyDescent="0.25">
      <c r="A34">
        <v>2022</v>
      </c>
      <c r="B34" s="14">
        <v>46274</v>
      </c>
      <c r="C34">
        <v>9</v>
      </c>
      <c r="D34"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21685.399999999998</v>
      </c>
    </row>
    <row r="35" spans="1:4" hidden="1" x14ac:dyDescent="0.25">
      <c r="A35">
        <v>2022</v>
      </c>
      <c r="B35" s="14">
        <v>46305</v>
      </c>
      <c r="C35">
        <v>10</v>
      </c>
      <c r="D35"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18725.179999999997</v>
      </c>
    </row>
    <row r="36" spans="1:4" hidden="1" x14ac:dyDescent="0.25">
      <c r="A36">
        <v>2022</v>
      </c>
      <c r="B36" s="14">
        <v>46337</v>
      </c>
      <c r="C36">
        <v>11</v>
      </c>
      <c r="D36"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27875.87</v>
      </c>
    </row>
    <row r="37" spans="1:4" hidden="1" x14ac:dyDescent="0.25">
      <c r="A37">
        <v>2022</v>
      </c>
      <c r="B37" s="14">
        <v>46368</v>
      </c>
      <c r="C37">
        <v>12</v>
      </c>
      <c r="D37"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23993.479999999996</v>
      </c>
    </row>
    <row r="38" spans="1:4" hidden="1" x14ac:dyDescent="0.25">
      <c r="A38">
        <v>2023</v>
      </c>
      <c r="B38" s="18">
        <v>46023</v>
      </c>
      <c r="C38">
        <v>1</v>
      </c>
      <c r="D38">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28446.420000000006</v>
      </c>
    </row>
    <row r="39" spans="1:4" hidden="1" x14ac:dyDescent="0.25">
      <c r="A39">
        <v>2023</v>
      </c>
      <c r="B39" s="19">
        <v>46055</v>
      </c>
      <c r="C39">
        <v>2</v>
      </c>
      <c r="D39">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19171.63</v>
      </c>
    </row>
    <row r="40" spans="1:4" hidden="1" x14ac:dyDescent="0.25">
      <c r="A40">
        <v>2023</v>
      </c>
      <c r="B40" s="18">
        <v>46084</v>
      </c>
      <c r="C40">
        <v>3</v>
      </c>
      <c r="D40">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25830.909999999993</v>
      </c>
    </row>
    <row r="41" spans="1:4" hidden="1" x14ac:dyDescent="0.25">
      <c r="A41">
        <v>2023</v>
      </c>
      <c r="B41" s="19">
        <v>46116</v>
      </c>
      <c r="C41">
        <v>4</v>
      </c>
      <c r="D41">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24092.350000000002</v>
      </c>
    </row>
    <row r="42" spans="1:4" hidden="1" x14ac:dyDescent="0.25">
      <c r="A42">
        <v>2023</v>
      </c>
      <c r="B42" s="18">
        <v>46147</v>
      </c>
      <c r="C42">
        <v>5</v>
      </c>
      <c r="D42">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28367.989999999998</v>
      </c>
    </row>
    <row r="43" spans="1:4" hidden="1" x14ac:dyDescent="0.25">
      <c r="A43">
        <v>2023</v>
      </c>
      <c r="B43" s="19">
        <v>46179</v>
      </c>
      <c r="C43">
        <v>6</v>
      </c>
      <c r="D43">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25679.119999999995</v>
      </c>
    </row>
    <row r="44" spans="1:4" hidden="1" x14ac:dyDescent="0.25">
      <c r="A44">
        <v>2023</v>
      </c>
      <c r="B44" s="18">
        <v>46210</v>
      </c>
      <c r="C44">
        <v>7</v>
      </c>
      <c r="D44">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24102.01</v>
      </c>
    </row>
    <row r="45" spans="1:4" hidden="1" x14ac:dyDescent="0.25">
      <c r="A45">
        <v>2023</v>
      </c>
      <c r="B45" s="19">
        <v>46242</v>
      </c>
      <c r="C45">
        <v>8</v>
      </c>
      <c r="D45">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26532.719999999998</v>
      </c>
    </row>
    <row r="46" spans="1:4" hidden="1" x14ac:dyDescent="0.25">
      <c r="A46">
        <v>2023</v>
      </c>
      <c r="B46" s="18">
        <v>46274</v>
      </c>
      <c r="C46">
        <v>9</v>
      </c>
      <c r="D4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27420.15</v>
      </c>
    </row>
    <row r="47" spans="1:4" hidden="1" x14ac:dyDescent="0.25">
      <c r="A47">
        <v>2023</v>
      </c>
      <c r="B47" s="19">
        <v>46305</v>
      </c>
      <c r="C47">
        <v>10</v>
      </c>
      <c r="D47">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31252.469999999994</v>
      </c>
    </row>
    <row r="48" spans="1:4" hidden="1" x14ac:dyDescent="0.25">
      <c r="A48">
        <v>2023</v>
      </c>
      <c r="B48" s="18">
        <v>46337</v>
      </c>
      <c r="C48">
        <v>11</v>
      </c>
      <c r="D48">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20523.440000000002</v>
      </c>
    </row>
    <row r="49" spans="1:4" hidden="1" x14ac:dyDescent="0.25">
      <c r="A49">
        <v>2023</v>
      </c>
      <c r="B49" s="19">
        <v>46368</v>
      </c>
      <c r="C49">
        <v>12</v>
      </c>
      <c r="D49">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28271.020000000004</v>
      </c>
    </row>
    <row r="50" spans="1:4" hidden="1" x14ac:dyDescent="0.25">
      <c r="A50">
        <v>2024</v>
      </c>
      <c r="B50" s="14">
        <v>46023</v>
      </c>
      <c r="C50">
        <v>1</v>
      </c>
      <c r="D50"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21229.520000000004</v>
      </c>
    </row>
    <row r="51" spans="1:4" hidden="1" x14ac:dyDescent="0.25">
      <c r="A51">
        <v>2024</v>
      </c>
      <c r="B51" s="14">
        <v>46055</v>
      </c>
      <c r="C51">
        <v>2</v>
      </c>
      <c r="D51"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4460.55</v>
      </c>
    </row>
    <row r="52" spans="1:4" hidden="1" x14ac:dyDescent="0.25">
      <c r="A52">
        <v>2024</v>
      </c>
      <c r="B52" s="14">
        <v>46084</v>
      </c>
      <c r="C52">
        <v>3</v>
      </c>
      <c r="D52"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3" spans="1:4" hidden="1" x14ac:dyDescent="0.25">
      <c r="A53">
        <v>2024</v>
      </c>
      <c r="B53" s="14">
        <v>46116</v>
      </c>
      <c r="C53">
        <v>4</v>
      </c>
      <c r="D53"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4" spans="1:4" hidden="1" x14ac:dyDescent="0.25">
      <c r="A54">
        <v>2024</v>
      </c>
      <c r="B54" s="14">
        <v>46147</v>
      </c>
      <c r="C54">
        <v>5</v>
      </c>
      <c r="D54"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5" spans="1:4" hidden="1" x14ac:dyDescent="0.25">
      <c r="A55">
        <v>2024</v>
      </c>
      <c r="B55" s="14">
        <v>46179</v>
      </c>
      <c r="C55">
        <v>6</v>
      </c>
      <c r="D55"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6" spans="1:4" hidden="1" x14ac:dyDescent="0.25">
      <c r="A56">
        <v>2024</v>
      </c>
      <c r="B56" s="14">
        <v>46210</v>
      </c>
      <c r="C56">
        <v>7</v>
      </c>
      <c r="D56"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7" spans="1:4" hidden="1" x14ac:dyDescent="0.25">
      <c r="A57">
        <v>2024</v>
      </c>
      <c r="B57" s="14">
        <v>46242</v>
      </c>
      <c r="C57">
        <v>8</v>
      </c>
      <c r="D57"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8" spans="1:4" hidden="1" x14ac:dyDescent="0.25">
      <c r="A58">
        <v>2024</v>
      </c>
      <c r="B58" s="14">
        <v>46274</v>
      </c>
      <c r="C58">
        <v>9</v>
      </c>
      <c r="D58"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59" spans="1:4" hidden="1" x14ac:dyDescent="0.25">
      <c r="A59">
        <v>2024</v>
      </c>
      <c r="B59" s="14">
        <v>46305</v>
      </c>
      <c r="C59">
        <v>10</v>
      </c>
      <c r="D59"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60" spans="1:4" hidden="1" x14ac:dyDescent="0.25">
      <c r="A60">
        <v>2024</v>
      </c>
      <c r="B60" s="14">
        <v>46337</v>
      </c>
      <c r="C60">
        <v>11</v>
      </c>
      <c r="D60"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row r="61" spans="1:4" hidden="1" x14ac:dyDescent="0.25">
      <c r="A61">
        <v>2024</v>
      </c>
      <c r="B61" s="14">
        <v>46368</v>
      </c>
      <c r="C61">
        <v>12</v>
      </c>
      <c r="D61" s="16">
        <f>SUMIFS(Personal_Finance_Dataset[Amount],Personal_Finance_Dataset[Type],"Expense",Personal_Finance_Dataset[Date],"&gt;="&amp;DATE(Monthly_Expenses_By_Year_Sheet6[[#This Row],[Year]],Monthly_Expenses_By_Year_Sheet6[[#This Row],[MonthNum]],1),Personal_Finance_Dataset[Date],"&lt;"&amp;EDATE(DATE(Monthly_Expenses_By_Year_Sheet6[[#This Row],[Year]],Monthly_Expenses_By_Year_Sheet6[[#This Row],[MonthNum]],1),1))</f>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4310-CC57-4C04-8B27-CE1FC2776A1A}">
  <dimension ref="A1:D6"/>
  <sheetViews>
    <sheetView workbookViewId="0">
      <selection activeCell="U50" sqref="U50"/>
    </sheetView>
  </sheetViews>
  <sheetFormatPr defaultRowHeight="15" x14ac:dyDescent="0.25"/>
  <cols>
    <col min="1" max="1" width="14.5703125" customWidth="1"/>
    <col min="2" max="4" width="22.85546875" customWidth="1"/>
  </cols>
  <sheetData>
    <row r="1" spans="1:4" x14ac:dyDescent="0.25">
      <c r="A1" t="s">
        <v>1520</v>
      </c>
      <c r="B1" t="s">
        <v>14</v>
      </c>
      <c r="C1" t="s">
        <v>7</v>
      </c>
      <c r="D1" t="s">
        <v>1526</v>
      </c>
    </row>
    <row r="2" spans="1:4" x14ac:dyDescent="0.25">
      <c r="A2">
        <v>2020</v>
      </c>
      <c r="B2">
        <f>SUMIFS(Personal_Finance_Dataset[Amount],Personal_Finance_Dataset[Type],"Income",Personal_Finance_Dataset[Year],Income_vs_Expense_Table[[#This Row],[Year]])</f>
        <v>147100</v>
      </c>
      <c r="C2">
        <f>SUMIFS(Personal_Finance_Dataset[Amount],Personal_Finance_Dataset[Type],"Expense",Personal_Finance_Dataset[Year],Income_vs_Expense_Table[[#This Row],[Year]])</f>
        <v>313192.34000000014</v>
      </c>
      <c r="D2">
        <f>Income_vs_Expense_Table[[#This Row],[Income]]-Income_vs_Expense_Table[[#This Row],[Expense]]</f>
        <v>-166092.34000000014</v>
      </c>
    </row>
    <row r="3" spans="1:4" x14ac:dyDescent="0.25">
      <c r="A3">
        <v>2021</v>
      </c>
      <c r="B3">
        <f>SUMIFS(Personal_Finance_Dataset[Amount],Personal_Finance_Dataset[Type],"Income",Personal_Finance_Dataset[Year],Income_vs_Expense_Table[[#This Row],[Year]])</f>
        <v>190995</v>
      </c>
      <c r="C3">
        <f>SUMIFS(Personal_Finance_Dataset[Amount],Personal_Finance_Dataset[Type],"Expense",Personal_Finance_Dataset[Year],Income_vs_Expense_Table[[#This Row],[Year]])</f>
        <v>305893.07000000007</v>
      </c>
      <c r="D3">
        <f>Income_vs_Expense_Table[[#This Row],[Income]]-Income_vs_Expense_Table[[#This Row],[Expense]]</f>
        <v>-114898.07000000007</v>
      </c>
    </row>
    <row r="4" spans="1:4" x14ac:dyDescent="0.25">
      <c r="A4">
        <v>2022</v>
      </c>
      <c r="B4">
        <f>SUMIFS(Personal_Finance_Dataset[Amount],Personal_Finance_Dataset[Type],"Income",Personal_Finance_Dataset[Year],Income_vs_Expense_Table[[#This Row],[Year]])</f>
        <v>180409</v>
      </c>
      <c r="C4">
        <f>SUMIFS(Personal_Finance_Dataset[Amount],Personal_Finance_Dataset[Type],"Expense",Personal_Finance_Dataset[Year],Income_vs_Expense_Table[[#This Row],[Year]])</f>
        <v>272728.66000000009</v>
      </c>
      <c r="D4">
        <f>Income_vs_Expense_Table[[#This Row],[Income]]-Income_vs_Expense_Table[[#This Row],[Expense]]</f>
        <v>-92319.660000000091</v>
      </c>
    </row>
    <row r="5" spans="1:4" x14ac:dyDescent="0.25">
      <c r="A5">
        <v>2023</v>
      </c>
      <c r="B5">
        <f>SUMIFS(Personal_Finance_Dataset[Amount],Personal_Finance_Dataset[Type],"Income",Personal_Finance_Dataset[Year],Income_vs_Expense_Table[[#This Row],[Year]])</f>
        <v>188812</v>
      </c>
      <c r="C5">
        <f>SUMIFS(Personal_Finance_Dataset[Amount],Personal_Finance_Dataset[Type],"Expense",Personal_Finance_Dataset[Year],Income_vs_Expense_Table[[#This Row],[Year]])</f>
        <v>309690.23000000016</v>
      </c>
      <c r="D5">
        <f>Income_vs_Expense_Table[[#This Row],[Income]]-Income_vs_Expense_Table[[#This Row],[Expense]]</f>
        <v>-120878.23000000016</v>
      </c>
    </row>
    <row r="6" spans="1:4" x14ac:dyDescent="0.25">
      <c r="A6">
        <v>2024</v>
      </c>
      <c r="B6">
        <f>SUMIFS(Personal_Finance_Dataset[Amount],Personal_Finance_Dataset[Type],"Income",Personal_Finance_Dataset[Year],Income_vs_Expense_Table[[#This Row],[Year]])</f>
        <v>26771</v>
      </c>
      <c r="C6">
        <f>SUMIFS(Personal_Finance_Dataset[Amount],Personal_Finance_Dataset[Type],"Expense",Personal_Finance_Dataset[Year],Income_vs_Expense_Table[[#This Row],[Year]])</f>
        <v>25690.07</v>
      </c>
      <c r="D6">
        <f>Income_vs_Expense_Table[[#This Row],[Income]]-Income_vs_Expense_Table[[#This Row],[Expense]]</f>
        <v>1080.9300000000003</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660B-A763-479E-A792-51DDC2908729}">
  <dimension ref="A1:B9"/>
  <sheetViews>
    <sheetView workbookViewId="0">
      <selection activeCell="D18" sqref="D18"/>
    </sheetView>
  </sheetViews>
  <sheetFormatPr defaultRowHeight="15" x14ac:dyDescent="0.25"/>
  <cols>
    <col min="1" max="1" width="38.140625" customWidth="1"/>
    <col min="2" max="2" width="23.85546875" customWidth="1"/>
  </cols>
  <sheetData>
    <row r="1" spans="1:2" x14ac:dyDescent="0.25">
      <c r="A1" t="s">
        <v>2</v>
      </c>
      <c r="B1" t="s">
        <v>1527</v>
      </c>
    </row>
    <row r="2" spans="1:2" x14ac:dyDescent="0.25">
      <c r="A2" t="s">
        <v>22</v>
      </c>
      <c r="B2" s="16">
        <f>SUMIFS(Personal_Finance_Dataset[Amount],Personal_Finance_Dataset[Type],"Expense",Personal_Finance_Dataset[Category],Types_of_Expenses_Table[[#This Row],[Category]])</f>
        <v>148165.46999999997</v>
      </c>
    </row>
    <row r="3" spans="1:2" x14ac:dyDescent="0.25">
      <c r="A3" t="s">
        <v>6</v>
      </c>
      <c r="B3" s="16">
        <f>SUMIFS(Personal_Finance_Dataset[Amount],Personal_Finance_Dataset[Type],"Expense",Personal_Finance_Dataset[Category],Types_of_Expenses_Table[[#This Row],[Category]])</f>
        <v>159493.39000000004</v>
      </c>
    </row>
    <row r="4" spans="1:2" x14ac:dyDescent="0.25">
      <c r="A4" t="s">
        <v>25</v>
      </c>
      <c r="B4" s="16">
        <f>SUMIFS(Personal_Finance_Dataset[Amount],Personal_Finance_Dataset[Type],"Expense",Personal_Finance_Dataset[Category],Types_of_Expenses_Table[[#This Row],[Category]])</f>
        <v>145194.06000000003</v>
      </c>
    </row>
    <row r="5" spans="1:2" x14ac:dyDescent="0.25">
      <c r="A5" t="s">
        <v>11</v>
      </c>
      <c r="B5" s="16">
        <f>SUMIFS(Personal_Finance_Dataset[Amount],Personal_Finance_Dataset[Type],"Expense",Personal_Finance_Dataset[Category],Types_of_Expenses_Table[[#This Row],[Category]])</f>
        <v>162075.39000000001</v>
      </c>
    </row>
    <row r="6" spans="1:2" x14ac:dyDescent="0.25">
      <c r="A6" t="s">
        <v>27</v>
      </c>
      <c r="B6" s="16">
        <f>SUMIFS(Personal_Finance_Dataset[Amount],Personal_Finance_Dataset[Type],"Expense",Personal_Finance_Dataset[Category],Types_of_Expenses_Table[[#This Row],[Category]])</f>
        <v>149053.55000000005</v>
      </c>
    </row>
    <row r="7" spans="1:2" x14ac:dyDescent="0.25">
      <c r="A7" t="s">
        <v>17</v>
      </c>
      <c r="B7" s="16">
        <f>SUMIFS(Personal_Finance_Dataset[Amount],Personal_Finance_Dataset[Type],"Expense",Personal_Finance_Dataset[Category],Types_of_Expenses_Table[[#This Row],[Category]])</f>
        <v>146880.75000000006</v>
      </c>
    </row>
    <row r="8" spans="1:2" x14ac:dyDescent="0.25">
      <c r="A8" t="s">
        <v>35</v>
      </c>
      <c r="B8" s="16">
        <f>SUMIFS(Personal_Finance_Dataset[Amount],Personal_Finance_Dataset[Type],"Expense",Personal_Finance_Dataset[Category],Types_of_Expenses_Table[[#This Row],[Category]])</f>
        <v>169497.79000000004</v>
      </c>
    </row>
    <row r="9" spans="1:2" x14ac:dyDescent="0.25">
      <c r="A9" t="s">
        <v>9</v>
      </c>
      <c r="B9" s="16">
        <f>SUMIFS(Personal_Finance_Dataset[Amount],Personal_Finance_Dataset[Type],"Expense",Personal_Finance_Dataset[Category],Types_of_Expenses_Table[[#This Row],[Category]])</f>
        <v>146833.97000000003</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32CB-D4E7-40FA-ACF2-39F9D027854B}">
  <dimension ref="A1:P7"/>
  <sheetViews>
    <sheetView workbookViewId="0">
      <selection activeCell="B5" sqref="B5"/>
    </sheetView>
  </sheetViews>
  <sheetFormatPr defaultRowHeight="15" x14ac:dyDescent="0.25"/>
  <cols>
    <col min="1" max="1" width="38.140625" customWidth="1"/>
    <col min="2" max="2" width="23.85546875" customWidth="1"/>
    <col min="16" max="16" width="23.85546875" customWidth="1"/>
  </cols>
  <sheetData>
    <row r="1" spans="1:16" x14ac:dyDescent="0.25">
      <c r="A1" s="15" t="s">
        <v>1520</v>
      </c>
      <c r="B1" s="15" t="s">
        <v>1528</v>
      </c>
      <c r="P1" s="15" t="s">
        <v>1528</v>
      </c>
    </row>
    <row r="2" spans="1:16" x14ac:dyDescent="0.25">
      <c r="A2">
        <v>2020</v>
      </c>
      <c r="B2" s="16">
        <f>SUMIFS(Personal_Finance_Dataset[Amount],Personal_Finance_Dataset[Type],"Income",Personal_Finance_Dataset[Year],Annual_Income_Table[[#This Row],[Year]])</f>
        <v>147100</v>
      </c>
      <c r="P2" s="16">
        <f>SUMIFS(Personal_Finance_Dataset[Amount],Personal_Finance_Dataset[Type],"Income",Personal_Finance_Dataset[Year],Annual_Income_Table[[#This Row],[Year]])</f>
        <v>147100</v>
      </c>
    </row>
    <row r="3" spans="1:16" x14ac:dyDescent="0.25">
      <c r="A3">
        <v>2021</v>
      </c>
      <c r="B3" s="16">
        <f>SUMIFS(Personal_Finance_Dataset[Amount],Personal_Finance_Dataset[Type],"Income",Personal_Finance_Dataset[Year],Annual_Income_Table[[#This Row],[Year]])</f>
        <v>190995</v>
      </c>
      <c r="P3" s="16">
        <f>SUMIFS(Personal_Finance_Dataset[Amount],Personal_Finance_Dataset[Type],"Income",Personal_Finance_Dataset[Year],Annual_Income_Table[[#This Row],[Year]])</f>
        <v>190995</v>
      </c>
    </row>
    <row r="4" spans="1:16" x14ac:dyDescent="0.25">
      <c r="A4">
        <v>2022</v>
      </c>
      <c r="B4" s="16">
        <f>SUMIFS(Personal_Finance_Dataset[Amount],Personal_Finance_Dataset[Type],"Income",Personal_Finance_Dataset[Year],Annual_Income_Table[[#This Row],[Year]])</f>
        <v>180409</v>
      </c>
      <c r="P4" s="16">
        <f>SUMIFS(Personal_Finance_Dataset[Amount],Personal_Finance_Dataset[Type],"Income",Personal_Finance_Dataset[Year],Annual_Income_Table[[#This Row],[Year]])</f>
        <v>180409</v>
      </c>
    </row>
    <row r="5" spans="1:16" x14ac:dyDescent="0.25">
      <c r="A5">
        <v>2023</v>
      </c>
      <c r="B5" s="16">
        <f>SUMIFS(Personal_Finance_Dataset[Amount],Personal_Finance_Dataset[Type],"Income",Personal_Finance_Dataset[Year],Annual_Income_Table[[#This Row],[Year]])</f>
        <v>188812</v>
      </c>
      <c r="P5" s="16">
        <f>SUMIFS(Personal_Finance_Dataset[Amount],Personal_Finance_Dataset[Type],"Income",Personal_Finance_Dataset[Year],Annual_Income_Table[[#This Row],[Year]])</f>
        <v>188812</v>
      </c>
    </row>
    <row r="6" spans="1:16" x14ac:dyDescent="0.25">
      <c r="A6">
        <v>2024</v>
      </c>
      <c r="B6" s="16">
        <f>SUMIFS(Personal_Finance_Dataset[Amount],Personal_Finance_Dataset[Type],"Income",Personal_Finance_Dataset[Year],Annual_Income_Table[[#This Row],[Year]])</f>
        <v>26771</v>
      </c>
      <c r="P6" s="16">
        <f>SUMIFS(Personal_Finance_Dataset[Amount],Personal_Finance_Dataset[Type],"Income",Personal_Finance_Dataset[Year],Annual_Income_Table[[#This Row],[Year]])</f>
        <v>26771</v>
      </c>
    </row>
    <row r="7" spans="1:16" x14ac:dyDescent="0.25">
      <c r="O7" t="s">
        <v>1533</v>
      </c>
      <c r="P7" s="16">
        <f>SUM(P2:P6)</f>
        <v>734087</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8EDA-A387-4EB5-8594-A1ED911F13D6}">
  <dimension ref="A1:B3"/>
  <sheetViews>
    <sheetView workbookViewId="0">
      <selection activeCell="W48" sqref="W48"/>
    </sheetView>
  </sheetViews>
  <sheetFormatPr defaultRowHeight="15" x14ac:dyDescent="0.25"/>
  <cols>
    <col min="1" max="1" width="38.140625" customWidth="1"/>
    <col min="2" max="2" width="23.85546875" customWidth="1"/>
  </cols>
  <sheetData>
    <row r="1" spans="1:2" x14ac:dyDescent="0.25">
      <c r="A1" s="15" t="s">
        <v>2</v>
      </c>
      <c r="B1" s="15" t="s">
        <v>1529</v>
      </c>
    </row>
    <row r="2" spans="1:2" x14ac:dyDescent="0.25">
      <c r="A2" t="s">
        <v>13</v>
      </c>
      <c r="B2" s="16">
        <f>SUMIFS(Personal_Finance_Dataset[Amount],Personal_Finance_Dataset[Type],"Income",Personal_Finance_Dataset[Category],Types_of_Income_Table[[#This Row],[Category]])</f>
        <v>363252</v>
      </c>
    </row>
    <row r="3" spans="1:2" x14ac:dyDescent="0.25">
      <c r="A3" t="s">
        <v>20</v>
      </c>
      <c r="B3" s="16">
        <f>SUMIFS(Personal_Finance_Dataset[Amount],Personal_Finance_Dataset[Type],"Income",Personal_Finance_Dataset[Category],Types_of_Income_Table[[#This Row],[Category]])</f>
        <v>370835</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EE98-CF1D-4E4E-9115-34D554B26AD2}">
  <dimension ref="A1:W66"/>
  <sheetViews>
    <sheetView workbookViewId="0">
      <selection activeCell="D5" sqref="D5:D53"/>
    </sheetView>
  </sheetViews>
  <sheetFormatPr defaultRowHeight="15" x14ac:dyDescent="0.25"/>
  <cols>
    <col min="1" max="1" width="38.140625" customWidth="1"/>
    <col min="2" max="2" width="16.140625" customWidth="1"/>
    <col min="3" max="3" width="13.5703125" bestFit="1" customWidth="1"/>
    <col min="4" max="4" width="23.85546875" customWidth="1"/>
    <col min="23" max="23" width="9" customWidth="1"/>
  </cols>
  <sheetData>
    <row r="1" spans="1:5" ht="23.25" x14ac:dyDescent="0.35">
      <c r="A1" s="31" t="s">
        <v>1530</v>
      </c>
      <c r="B1" s="32"/>
      <c r="C1" s="32"/>
      <c r="D1" s="32"/>
      <c r="E1" s="32"/>
    </row>
    <row r="2" spans="1:5" x14ac:dyDescent="0.25">
      <c r="A2" s="33" t="s">
        <v>1531</v>
      </c>
      <c r="B2" s="32"/>
      <c r="C2" s="32"/>
      <c r="D2" s="32"/>
      <c r="E2" s="32"/>
    </row>
    <row r="5" spans="1:5" x14ac:dyDescent="0.25">
      <c r="A5" s="15" t="s">
        <v>1520</v>
      </c>
      <c r="B5" s="15" t="s">
        <v>1523</v>
      </c>
      <c r="C5" s="15" t="s">
        <v>1524</v>
      </c>
      <c r="D5" s="15" t="s">
        <v>1532</v>
      </c>
    </row>
    <row r="6" spans="1:5" x14ac:dyDescent="0.25">
      <c r="A6">
        <v>2020</v>
      </c>
      <c r="B6" s="14">
        <v>46023</v>
      </c>
      <c r="C6">
        <v>1</v>
      </c>
      <c r="D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15211</v>
      </c>
    </row>
    <row r="7" spans="1:5" x14ac:dyDescent="0.25">
      <c r="A7">
        <v>2020</v>
      </c>
      <c r="B7" s="14">
        <v>46055</v>
      </c>
      <c r="C7">
        <v>2</v>
      </c>
      <c r="D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13902</v>
      </c>
    </row>
    <row r="8" spans="1:5" x14ac:dyDescent="0.25">
      <c r="A8">
        <v>2020</v>
      </c>
      <c r="B8" s="14">
        <v>46084</v>
      </c>
      <c r="C8">
        <v>3</v>
      </c>
      <c r="D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12002</v>
      </c>
    </row>
    <row r="9" spans="1:5" x14ac:dyDescent="0.25">
      <c r="A9">
        <v>2020</v>
      </c>
      <c r="B9" s="14">
        <v>46116</v>
      </c>
      <c r="C9">
        <v>4</v>
      </c>
      <c r="D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13722</v>
      </c>
    </row>
    <row r="10" spans="1:5" x14ac:dyDescent="0.25">
      <c r="A10">
        <v>2020</v>
      </c>
      <c r="B10" s="14">
        <v>46147</v>
      </c>
      <c r="C10">
        <v>5</v>
      </c>
      <c r="D1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6092</v>
      </c>
    </row>
    <row r="11" spans="1:5" x14ac:dyDescent="0.25">
      <c r="A11">
        <v>2020</v>
      </c>
      <c r="B11" s="14">
        <v>46179</v>
      </c>
      <c r="C11">
        <v>6</v>
      </c>
      <c r="D1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14941</v>
      </c>
    </row>
    <row r="12" spans="1:5" x14ac:dyDescent="0.25">
      <c r="A12">
        <v>2020</v>
      </c>
      <c r="B12" s="14">
        <v>46210</v>
      </c>
      <c r="C12">
        <v>7</v>
      </c>
      <c r="D1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6538</v>
      </c>
    </row>
    <row r="13" spans="1:5" x14ac:dyDescent="0.25">
      <c r="A13">
        <v>2020</v>
      </c>
      <c r="B13" s="14">
        <v>46242</v>
      </c>
      <c r="C13">
        <v>8</v>
      </c>
      <c r="D1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7744</v>
      </c>
    </row>
    <row r="14" spans="1:5" x14ac:dyDescent="0.25">
      <c r="A14">
        <v>2020</v>
      </c>
      <c r="B14" s="14">
        <v>46274</v>
      </c>
      <c r="C14">
        <v>9</v>
      </c>
      <c r="D1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8369</v>
      </c>
    </row>
    <row r="15" spans="1:5" x14ac:dyDescent="0.25">
      <c r="A15">
        <v>2020</v>
      </c>
      <c r="B15" s="14">
        <v>46305</v>
      </c>
      <c r="C15">
        <v>10</v>
      </c>
      <c r="D1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12513</v>
      </c>
    </row>
    <row r="16" spans="1:5" x14ac:dyDescent="0.25">
      <c r="A16">
        <v>2020</v>
      </c>
      <c r="B16" s="14">
        <v>46337</v>
      </c>
      <c r="C16">
        <v>11</v>
      </c>
      <c r="D1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5600</v>
      </c>
    </row>
    <row r="17" spans="1:4" x14ac:dyDescent="0.25">
      <c r="A17">
        <v>2020</v>
      </c>
      <c r="B17" s="14">
        <v>46368</v>
      </c>
      <c r="C17">
        <v>12</v>
      </c>
      <c r="D1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30466</v>
      </c>
    </row>
    <row r="18" spans="1:4" hidden="1" x14ac:dyDescent="0.25">
      <c r="A18">
        <v>2021</v>
      </c>
      <c r="B18" s="14">
        <v>46023</v>
      </c>
      <c r="C18">
        <v>1</v>
      </c>
      <c r="D1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1168</v>
      </c>
    </row>
    <row r="19" spans="1:4" hidden="1" x14ac:dyDescent="0.25">
      <c r="A19">
        <v>2021</v>
      </c>
      <c r="B19" s="14">
        <v>46055</v>
      </c>
      <c r="C19">
        <v>2</v>
      </c>
      <c r="D1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5283</v>
      </c>
    </row>
    <row r="20" spans="1:4" hidden="1" x14ac:dyDescent="0.25">
      <c r="A20">
        <v>2021</v>
      </c>
      <c r="B20" s="14">
        <v>46084</v>
      </c>
      <c r="C20">
        <v>3</v>
      </c>
      <c r="D2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13421</v>
      </c>
    </row>
    <row r="21" spans="1:4" hidden="1" x14ac:dyDescent="0.25">
      <c r="A21">
        <v>2021</v>
      </c>
      <c r="B21" s="14">
        <v>46116</v>
      </c>
      <c r="C21">
        <v>4</v>
      </c>
      <c r="D2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12349</v>
      </c>
    </row>
    <row r="22" spans="1:4" hidden="1" x14ac:dyDescent="0.25">
      <c r="A22">
        <v>2021</v>
      </c>
      <c r="B22" s="14">
        <v>46147</v>
      </c>
      <c r="C22">
        <v>5</v>
      </c>
      <c r="D2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20648</v>
      </c>
    </row>
    <row r="23" spans="1:4" hidden="1" x14ac:dyDescent="0.25">
      <c r="A23">
        <v>2021</v>
      </c>
      <c r="B23" s="14">
        <v>46179</v>
      </c>
      <c r="C23">
        <v>6</v>
      </c>
      <c r="D2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17495</v>
      </c>
    </row>
    <row r="24" spans="1:4" hidden="1" x14ac:dyDescent="0.25">
      <c r="A24">
        <v>2021</v>
      </c>
      <c r="B24" s="14">
        <v>46210</v>
      </c>
      <c r="C24">
        <v>7</v>
      </c>
      <c r="D2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38386</v>
      </c>
    </row>
    <row r="25" spans="1:4" hidden="1" x14ac:dyDescent="0.25">
      <c r="A25">
        <v>2021</v>
      </c>
      <c r="B25" s="14">
        <v>46242</v>
      </c>
      <c r="C25">
        <v>8</v>
      </c>
      <c r="D2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14798</v>
      </c>
    </row>
    <row r="26" spans="1:4" hidden="1" x14ac:dyDescent="0.25">
      <c r="A26">
        <v>2021</v>
      </c>
      <c r="B26" s="14">
        <v>46274</v>
      </c>
      <c r="C26">
        <v>9</v>
      </c>
      <c r="D2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25822</v>
      </c>
    </row>
    <row r="27" spans="1:4" hidden="1" x14ac:dyDescent="0.25">
      <c r="A27">
        <v>2021</v>
      </c>
      <c r="B27" s="14">
        <v>46305</v>
      </c>
      <c r="C27">
        <v>10</v>
      </c>
      <c r="D2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18004</v>
      </c>
    </row>
    <row r="28" spans="1:4" hidden="1" x14ac:dyDescent="0.25">
      <c r="A28">
        <v>2021</v>
      </c>
      <c r="B28" s="14">
        <v>46337</v>
      </c>
      <c r="C28">
        <v>11</v>
      </c>
      <c r="D2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9933</v>
      </c>
    </row>
    <row r="29" spans="1:4" hidden="1" x14ac:dyDescent="0.25">
      <c r="A29">
        <v>2021</v>
      </c>
      <c r="B29" s="14">
        <v>46368</v>
      </c>
      <c r="C29">
        <v>12</v>
      </c>
      <c r="D2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13688</v>
      </c>
    </row>
    <row r="30" spans="1:4" hidden="1" x14ac:dyDescent="0.25">
      <c r="A30">
        <v>2022</v>
      </c>
      <c r="B30" s="14">
        <v>46023</v>
      </c>
      <c r="C30">
        <v>1</v>
      </c>
      <c r="D3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15484</v>
      </c>
    </row>
    <row r="31" spans="1:4" hidden="1" x14ac:dyDescent="0.25">
      <c r="A31">
        <v>2022</v>
      </c>
      <c r="B31" s="14">
        <v>46055</v>
      </c>
      <c r="C31">
        <v>2</v>
      </c>
      <c r="D3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13199</v>
      </c>
    </row>
    <row r="32" spans="1:4" hidden="1" x14ac:dyDescent="0.25">
      <c r="A32">
        <v>2022</v>
      </c>
      <c r="B32" s="14">
        <v>46084</v>
      </c>
      <c r="C32">
        <v>3</v>
      </c>
      <c r="D3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17103</v>
      </c>
    </row>
    <row r="33" spans="1:4" hidden="1" x14ac:dyDescent="0.25">
      <c r="A33">
        <v>2022</v>
      </c>
      <c r="B33" s="14">
        <v>46116</v>
      </c>
      <c r="C33">
        <v>4</v>
      </c>
      <c r="D3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10333</v>
      </c>
    </row>
    <row r="34" spans="1:4" hidden="1" x14ac:dyDescent="0.25">
      <c r="A34">
        <v>2022</v>
      </c>
      <c r="B34" s="14">
        <v>46147</v>
      </c>
      <c r="C34">
        <v>5</v>
      </c>
      <c r="D3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19240</v>
      </c>
    </row>
    <row r="35" spans="1:4" hidden="1" x14ac:dyDescent="0.25">
      <c r="A35">
        <v>2022</v>
      </c>
      <c r="B35" s="14">
        <v>46179</v>
      </c>
      <c r="C35">
        <v>6</v>
      </c>
      <c r="D3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8524</v>
      </c>
    </row>
    <row r="36" spans="1:4" hidden="1" x14ac:dyDescent="0.25">
      <c r="A36">
        <v>2022</v>
      </c>
      <c r="B36" s="14">
        <v>46210</v>
      </c>
      <c r="C36">
        <v>7</v>
      </c>
      <c r="D3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24269</v>
      </c>
    </row>
    <row r="37" spans="1:4" hidden="1" x14ac:dyDescent="0.25">
      <c r="A37">
        <v>2022</v>
      </c>
      <c r="B37" s="14">
        <v>46242</v>
      </c>
      <c r="C37">
        <v>8</v>
      </c>
      <c r="D3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23479</v>
      </c>
    </row>
    <row r="38" spans="1:4" hidden="1" x14ac:dyDescent="0.25">
      <c r="A38">
        <v>2022</v>
      </c>
      <c r="B38" s="14">
        <v>46274</v>
      </c>
      <c r="C38">
        <v>9</v>
      </c>
      <c r="D3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11192</v>
      </c>
    </row>
    <row r="39" spans="1:4" hidden="1" x14ac:dyDescent="0.25">
      <c r="A39">
        <v>2022</v>
      </c>
      <c r="B39" s="14">
        <v>46305</v>
      </c>
      <c r="C39">
        <v>10</v>
      </c>
      <c r="D3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21307</v>
      </c>
    </row>
    <row r="40" spans="1:4" hidden="1" x14ac:dyDescent="0.25">
      <c r="A40">
        <v>2022</v>
      </c>
      <c r="B40" s="14">
        <v>46337</v>
      </c>
      <c r="C40">
        <v>11</v>
      </c>
      <c r="D4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8101</v>
      </c>
    </row>
    <row r="41" spans="1:4" hidden="1" x14ac:dyDescent="0.25">
      <c r="A41">
        <v>2022</v>
      </c>
      <c r="B41" s="14">
        <v>46368</v>
      </c>
      <c r="C41">
        <v>12</v>
      </c>
      <c r="D4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8178</v>
      </c>
    </row>
    <row r="42" spans="1:4" hidden="1" x14ac:dyDescent="0.25">
      <c r="A42">
        <v>2023</v>
      </c>
      <c r="B42" s="14">
        <v>46023</v>
      </c>
      <c r="C42">
        <v>1</v>
      </c>
      <c r="D4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10279</v>
      </c>
    </row>
    <row r="43" spans="1:4" hidden="1" x14ac:dyDescent="0.25">
      <c r="A43">
        <v>2023</v>
      </c>
      <c r="B43" s="14">
        <v>46055</v>
      </c>
      <c r="C43">
        <v>2</v>
      </c>
      <c r="D4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21595</v>
      </c>
    </row>
    <row r="44" spans="1:4" hidden="1" x14ac:dyDescent="0.25">
      <c r="A44">
        <v>2023</v>
      </c>
      <c r="B44" s="14">
        <v>46084</v>
      </c>
      <c r="C44">
        <v>3</v>
      </c>
      <c r="D4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10610</v>
      </c>
    </row>
    <row r="45" spans="1:4" hidden="1" x14ac:dyDescent="0.25">
      <c r="A45">
        <v>2023</v>
      </c>
      <c r="B45" s="14">
        <v>46116</v>
      </c>
      <c r="C45">
        <v>4</v>
      </c>
      <c r="D4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19123</v>
      </c>
    </row>
    <row r="46" spans="1:4" hidden="1" x14ac:dyDescent="0.25">
      <c r="A46">
        <v>2023</v>
      </c>
      <c r="B46" s="14">
        <v>46147</v>
      </c>
      <c r="C46">
        <v>5</v>
      </c>
      <c r="D4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16488</v>
      </c>
    </row>
    <row r="47" spans="1:4" hidden="1" x14ac:dyDescent="0.25">
      <c r="A47">
        <v>2023</v>
      </c>
      <c r="B47" s="14">
        <v>46179</v>
      </c>
      <c r="C47">
        <v>6</v>
      </c>
      <c r="D4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6840</v>
      </c>
    </row>
    <row r="48" spans="1:4" hidden="1" x14ac:dyDescent="0.25">
      <c r="A48">
        <v>2023</v>
      </c>
      <c r="B48" s="14">
        <v>46210</v>
      </c>
      <c r="C48">
        <v>7</v>
      </c>
      <c r="D4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25111</v>
      </c>
    </row>
    <row r="49" spans="1:23" hidden="1" x14ac:dyDescent="0.25">
      <c r="A49">
        <v>2023</v>
      </c>
      <c r="B49" s="14">
        <v>46242</v>
      </c>
      <c r="C49">
        <v>8</v>
      </c>
      <c r="D4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14268</v>
      </c>
    </row>
    <row r="50" spans="1:23" hidden="1" x14ac:dyDescent="0.25">
      <c r="A50">
        <v>2023</v>
      </c>
      <c r="B50" s="14">
        <v>46274</v>
      </c>
      <c r="C50">
        <v>9</v>
      </c>
      <c r="D5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21023</v>
      </c>
    </row>
    <row r="51" spans="1:23" hidden="1" x14ac:dyDescent="0.25">
      <c r="A51">
        <v>2023</v>
      </c>
      <c r="B51" s="14">
        <v>46305</v>
      </c>
      <c r="C51">
        <v>10</v>
      </c>
      <c r="D5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9188</v>
      </c>
    </row>
    <row r="52" spans="1:23" hidden="1" x14ac:dyDescent="0.25">
      <c r="A52">
        <v>2023</v>
      </c>
      <c r="B52" s="14">
        <v>46337</v>
      </c>
      <c r="C52">
        <v>11</v>
      </c>
      <c r="D5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28865</v>
      </c>
    </row>
    <row r="53" spans="1:23" hidden="1" x14ac:dyDescent="0.25">
      <c r="A53">
        <v>2023</v>
      </c>
      <c r="B53" s="14">
        <v>46368</v>
      </c>
      <c r="C53">
        <v>12</v>
      </c>
      <c r="D5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5422</v>
      </c>
    </row>
    <row r="54" spans="1:23" hidden="1" x14ac:dyDescent="0.25">
      <c r="A54">
        <v>2024</v>
      </c>
      <c r="B54" s="14">
        <v>46023</v>
      </c>
      <c r="C54">
        <v>1</v>
      </c>
      <c r="D5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23866</v>
      </c>
      <c r="W54" s="22">
        <v>28865</v>
      </c>
    </row>
    <row r="55" spans="1:23" hidden="1" x14ac:dyDescent="0.25">
      <c r="A55">
        <v>2024</v>
      </c>
      <c r="B55" s="14">
        <v>46055</v>
      </c>
      <c r="C55">
        <v>2</v>
      </c>
      <c r="D5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2905</v>
      </c>
      <c r="W55" s="23">
        <v>5422</v>
      </c>
    </row>
    <row r="56" spans="1:23" hidden="1" x14ac:dyDescent="0.25">
      <c r="A56">
        <v>2024</v>
      </c>
      <c r="B56" s="14">
        <v>46084</v>
      </c>
      <c r="C56">
        <v>3</v>
      </c>
      <c r="D56"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57" spans="1:23" hidden="1" x14ac:dyDescent="0.25">
      <c r="A57">
        <v>2024</v>
      </c>
      <c r="B57" s="14">
        <v>46116</v>
      </c>
      <c r="C57">
        <v>4</v>
      </c>
      <c r="D57"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58" spans="1:23" hidden="1" x14ac:dyDescent="0.25">
      <c r="A58">
        <v>2024</v>
      </c>
      <c r="B58" s="14">
        <v>46147</v>
      </c>
      <c r="C58">
        <v>5</v>
      </c>
      <c r="D58"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59" spans="1:23" hidden="1" x14ac:dyDescent="0.25">
      <c r="A59">
        <v>2024</v>
      </c>
      <c r="B59" s="14">
        <v>46179</v>
      </c>
      <c r="C59">
        <v>6</v>
      </c>
      <c r="D59"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0" spans="1:23" hidden="1" x14ac:dyDescent="0.25">
      <c r="A60">
        <v>2024</v>
      </c>
      <c r="B60" s="14">
        <v>46210</v>
      </c>
      <c r="C60">
        <v>7</v>
      </c>
      <c r="D60"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1" spans="1:23" hidden="1" x14ac:dyDescent="0.25">
      <c r="A61">
        <v>2024</v>
      </c>
      <c r="B61" s="14">
        <v>46242</v>
      </c>
      <c r="C61">
        <v>8</v>
      </c>
      <c r="D61"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2" spans="1:23" hidden="1" x14ac:dyDescent="0.25">
      <c r="A62">
        <v>2024</v>
      </c>
      <c r="B62" s="14">
        <v>46274</v>
      </c>
      <c r="C62">
        <v>9</v>
      </c>
      <c r="D62"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3" spans="1:23" hidden="1" x14ac:dyDescent="0.25">
      <c r="A63">
        <v>2024</v>
      </c>
      <c r="B63" s="14">
        <v>46305</v>
      </c>
      <c r="C63">
        <v>10</v>
      </c>
      <c r="D63"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4" spans="1:23" hidden="1" x14ac:dyDescent="0.25">
      <c r="A64">
        <v>2024</v>
      </c>
      <c r="B64" s="14">
        <v>46337</v>
      </c>
      <c r="C64">
        <v>11</v>
      </c>
      <c r="D64"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5" spans="1:23" hidden="1" x14ac:dyDescent="0.25">
      <c r="A65">
        <v>2024</v>
      </c>
      <c r="B65" s="14">
        <v>46368</v>
      </c>
      <c r="C65">
        <v>12</v>
      </c>
      <c r="D65" s="16">
        <f>SUMIFS(Personal_Finance_Dataset[Amount],Personal_Finance_Dataset[Type],"Income",Personal_Finance_Dataset[Date],"&gt;="&amp;DATE(Monthly_Income_By_Year[[#This Row],[Year]],Monthly_Income_By_Year[[#This Row],[MonthNum]],1),Personal_Finance_Dataset[Date],"&lt;"&amp;EDATE(DATE(Monthly_Income_By_Year[[#This Row],[Year]],Monthly_Income_By_Year[[#This Row],[MonthNum]],1),1))</f>
        <v>0</v>
      </c>
    </row>
    <row r="66" spans="1:23" x14ac:dyDescent="0.25">
      <c r="W66" s="16"/>
    </row>
  </sheetData>
  <mergeCells count="2">
    <mergeCell ref="A1:E1"/>
    <mergeCell ref="A2:E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1371-9925-4136-88C7-13116951188A}">
  <dimension ref="A1:E17"/>
  <sheetViews>
    <sheetView workbookViewId="0">
      <selection activeCell="Q42" sqref="Q42"/>
    </sheetView>
  </sheetViews>
  <sheetFormatPr defaultRowHeight="15" x14ac:dyDescent="0.25"/>
  <cols>
    <col min="1" max="1" width="38.140625" customWidth="1"/>
    <col min="2" max="2" width="13.5703125" bestFit="1" customWidth="1"/>
    <col min="3" max="3" width="23.85546875" customWidth="1"/>
  </cols>
  <sheetData>
    <row r="1" spans="1:5" ht="23.25" x14ac:dyDescent="0.35">
      <c r="A1" s="31" t="s">
        <v>1535</v>
      </c>
      <c r="B1" s="32"/>
      <c r="C1" s="32"/>
      <c r="D1" s="32"/>
      <c r="E1" s="32"/>
    </row>
    <row r="2" spans="1:5" x14ac:dyDescent="0.25">
      <c r="A2" s="33" t="s">
        <v>1536</v>
      </c>
      <c r="B2" s="32"/>
      <c r="C2" s="32"/>
      <c r="D2" s="32"/>
      <c r="E2" s="32"/>
    </row>
    <row r="5" spans="1:5" x14ac:dyDescent="0.25">
      <c r="A5" s="15" t="s">
        <v>1523</v>
      </c>
      <c r="B5" s="15" t="s">
        <v>1524</v>
      </c>
      <c r="C5" s="15" t="s">
        <v>1537</v>
      </c>
    </row>
    <row r="6" spans="1:5" x14ac:dyDescent="0.25">
      <c r="A6" t="s">
        <v>1538</v>
      </c>
      <c r="B6">
        <v>1</v>
      </c>
      <c r="C6"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7539</v>
      </c>
    </row>
    <row r="7" spans="1:5" x14ac:dyDescent="0.25">
      <c r="A7" t="s">
        <v>1539</v>
      </c>
      <c r="B7">
        <v>2</v>
      </c>
      <c r="C7"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19071</v>
      </c>
    </row>
    <row r="8" spans="1:5" x14ac:dyDescent="0.25">
      <c r="A8" t="s">
        <v>1540</v>
      </c>
      <c r="B8">
        <v>3</v>
      </c>
      <c r="C8"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7616</v>
      </c>
    </row>
    <row r="9" spans="1:5" x14ac:dyDescent="0.25">
      <c r="A9" t="s">
        <v>1541</v>
      </c>
      <c r="B9">
        <v>4</v>
      </c>
      <c r="C9"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11281</v>
      </c>
    </row>
    <row r="10" spans="1:5" x14ac:dyDescent="0.25">
      <c r="A10" t="s">
        <v>1542</v>
      </c>
      <c r="B10">
        <v>5</v>
      </c>
      <c r="C10"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7441</v>
      </c>
    </row>
    <row r="11" spans="1:5" x14ac:dyDescent="0.25">
      <c r="A11" t="s">
        <v>1543</v>
      </c>
      <c r="B11">
        <v>6</v>
      </c>
      <c r="C11"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5763</v>
      </c>
    </row>
    <row r="12" spans="1:5" x14ac:dyDescent="0.25">
      <c r="A12" t="s">
        <v>1544</v>
      </c>
      <c r="B12">
        <v>7</v>
      </c>
      <c r="C12"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9769</v>
      </c>
    </row>
    <row r="13" spans="1:5" x14ac:dyDescent="0.25">
      <c r="A13" t="s">
        <v>1545</v>
      </c>
      <c r="B13">
        <v>8</v>
      </c>
      <c r="C13"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12036</v>
      </c>
    </row>
    <row r="14" spans="1:5" x14ac:dyDescent="0.25">
      <c r="A14" t="s">
        <v>1546</v>
      </c>
      <c r="B14">
        <v>9</v>
      </c>
      <c r="C14"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10509</v>
      </c>
    </row>
    <row r="15" spans="1:5" x14ac:dyDescent="0.25">
      <c r="A15" t="s">
        <v>1547</v>
      </c>
      <c r="B15">
        <v>10</v>
      </c>
      <c r="C15"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1211</v>
      </c>
    </row>
    <row r="16" spans="1:5" x14ac:dyDescent="0.25">
      <c r="A16" t="s">
        <v>1548</v>
      </c>
      <c r="B16">
        <v>11</v>
      </c>
      <c r="C16"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9581</v>
      </c>
    </row>
    <row r="17" spans="1:3" x14ac:dyDescent="0.25">
      <c r="A17" t="s">
        <v>1549</v>
      </c>
      <c r="B17">
        <v>12</v>
      </c>
      <c r="C17" s="16">
        <f>SUMIFS(Personal_Finance_Dataset[Amount],Personal_Finance_Dataset[Type],"Income",Personal_Finance_Dataset[Category],"Investment",Personal_Finance_Dataset[Date],"&gt;="&amp;DATE(2023,Investment_Income_2023_Table[[#This Row],[MonthNum]],1),Personal_Finance_Dataset[Date],"&lt;"&amp;EDATE(DATE(2023,Investment_Income_2023_Table[[#This Row],[MonthNum]],1),1))</f>
        <v>2258</v>
      </c>
    </row>
  </sheetData>
  <mergeCells count="2">
    <mergeCell ref="A1:E1"/>
    <mergeCell ref="A2:E2"/>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232-F616-40F4-AB66-D7C54576157A}">
  <dimension ref="A1:V18"/>
  <sheetViews>
    <sheetView workbookViewId="0">
      <selection activeCell="P1" sqref="P1:V9"/>
    </sheetView>
  </sheetViews>
  <sheetFormatPr defaultRowHeight="15" x14ac:dyDescent="0.25"/>
  <cols>
    <col min="1" max="1" width="14.28515625" customWidth="1"/>
    <col min="9" max="9" width="14.28515625" customWidth="1"/>
    <col min="10" max="10" width="15.42578125" bestFit="1" customWidth="1"/>
    <col min="13" max="13" width="9.140625" customWidth="1"/>
    <col min="14" max="14" width="13.7109375" customWidth="1"/>
    <col min="15" max="15" width="32.42578125" customWidth="1"/>
    <col min="16" max="16" width="17.7109375" customWidth="1"/>
    <col min="17" max="17" width="15.7109375" customWidth="1"/>
    <col min="18" max="18" width="16.85546875" customWidth="1"/>
    <col min="20" max="20" width="17.42578125" customWidth="1"/>
    <col min="21" max="21" width="15.5703125" bestFit="1" customWidth="1"/>
    <col min="22" max="22" width="20.5703125" bestFit="1" customWidth="1"/>
  </cols>
  <sheetData>
    <row r="1" spans="1:22" x14ac:dyDescent="0.25">
      <c r="A1" t="s">
        <v>1560</v>
      </c>
      <c r="B1" t="s">
        <v>1558</v>
      </c>
      <c r="I1" t="s">
        <v>1561</v>
      </c>
      <c r="J1" t="s">
        <v>1559</v>
      </c>
      <c r="P1" t="s">
        <v>1568</v>
      </c>
      <c r="Q1" t="s">
        <v>1563</v>
      </c>
      <c r="R1" t="s">
        <v>1562</v>
      </c>
      <c r="S1" t="s">
        <v>1569</v>
      </c>
      <c r="T1" t="s">
        <v>1570</v>
      </c>
      <c r="U1" s="15" t="s">
        <v>1572</v>
      </c>
      <c r="V1" s="15" t="s">
        <v>1574</v>
      </c>
    </row>
    <row r="2" spans="1:22" x14ac:dyDescent="0.25">
      <c r="A2">
        <v>40000</v>
      </c>
      <c r="B2">
        <v>45000</v>
      </c>
      <c r="I2">
        <v>300000</v>
      </c>
      <c r="J2">
        <v>309690.23</v>
      </c>
      <c r="P2" t="s">
        <v>1564</v>
      </c>
      <c r="Q2" s="28">
        <v>84737</v>
      </c>
      <c r="R2" t="s">
        <v>1566</v>
      </c>
      <c r="S2" t="s">
        <v>1563</v>
      </c>
      <c r="T2" t="s">
        <v>1576</v>
      </c>
      <c r="U2" t="s">
        <v>22</v>
      </c>
      <c r="V2" s="29">
        <f>SUMIFS(Personal_Finance_Dataset[Amount],Personal_Finance_Dataset[Year],2023,Personal_Finance_Dataset[Type],"Expense",Personal_Finance_Dataset[Category],TRIM(U2))</f>
        <v>42256.350000000006</v>
      </c>
    </row>
    <row r="3" spans="1:22" x14ac:dyDescent="0.25">
      <c r="P3" t="s">
        <v>1565</v>
      </c>
      <c r="Q3" s="28">
        <v>104075</v>
      </c>
      <c r="R3" t="s">
        <v>1567</v>
      </c>
      <c r="S3" t="s">
        <v>1563</v>
      </c>
      <c r="T3" t="s">
        <v>1575</v>
      </c>
      <c r="U3" t="s">
        <v>6</v>
      </c>
      <c r="V3" s="29">
        <f>SUMIFS(Personal_Finance_Dataset[Amount],Personal_Finance_Dataset[Year],2023,Personal_Finance_Dataset[Type],"Expense",Personal_Finance_Dataset[Category],TRIM(U3))</f>
        <v>41880.710000000006</v>
      </c>
    </row>
    <row r="4" spans="1:22" x14ac:dyDescent="0.25">
      <c r="Q4" s="28"/>
      <c r="T4" t="s">
        <v>1575</v>
      </c>
      <c r="U4" t="s">
        <v>25</v>
      </c>
      <c r="V4" s="29">
        <f>SUMIFS(Personal_Finance_Dataset[Amount],Personal_Finance_Dataset[Year],2023,Personal_Finance_Dataset[Type],"Expense",Personal_Finance_Dataset[Category],TRIM(U4))</f>
        <v>40177.519999999997</v>
      </c>
    </row>
    <row r="5" spans="1:22" x14ac:dyDescent="0.25">
      <c r="T5" t="s">
        <v>1575</v>
      </c>
      <c r="U5" t="s">
        <v>11</v>
      </c>
      <c r="V5" s="29">
        <f>SUMIFS(Personal_Finance_Dataset[Amount],Personal_Finance_Dataset[Year],2023,Personal_Finance_Dataset[Type],"Expense",Personal_Finance_Dataset[Category],TRIM(U5))</f>
        <v>31434.789999999997</v>
      </c>
    </row>
    <row r="6" spans="1:22" x14ac:dyDescent="0.25">
      <c r="T6" t="s">
        <v>1571</v>
      </c>
      <c r="U6" t="s">
        <v>1573</v>
      </c>
      <c r="V6" s="28">
        <v>55632.4</v>
      </c>
    </row>
    <row r="7" spans="1:22" x14ac:dyDescent="0.25">
      <c r="T7" t="s">
        <v>1575</v>
      </c>
      <c r="U7" t="s">
        <v>17</v>
      </c>
      <c r="V7" s="29">
        <f>SUMIFS(Personal_Finance_Dataset[Amount],Personal_Finance_Dataset[Year],2023,Personal_Finance_Dataset[Type],"Expense",Personal_Finance_Dataset[Category],TRIM(U7))</f>
        <v>23606.219999999998</v>
      </c>
    </row>
    <row r="8" spans="1:22" x14ac:dyDescent="0.25">
      <c r="T8" t="s">
        <v>1576</v>
      </c>
      <c r="U8" t="s">
        <v>35</v>
      </c>
      <c r="V8" s="29">
        <f>SUMIFS(Personal_Finance_Dataset[Amount],Personal_Finance_Dataset[Year],2023,Personal_Finance_Dataset[Type],"Expense",Personal_Finance_Dataset[Category],TRIM(U8))</f>
        <v>46935.499999999993</v>
      </c>
    </row>
    <row r="9" spans="1:22" x14ac:dyDescent="0.25">
      <c r="T9" t="s">
        <v>1575</v>
      </c>
      <c r="U9" t="s">
        <v>9</v>
      </c>
      <c r="V9" s="29">
        <f>SUMIFS(Personal_Finance_Dataset[Amount],Personal_Finance_Dataset[Year],2023,Personal_Finance_Dataset[Type],"Expense",Personal_Finance_Dataset[Category],TRIM(U9))</f>
        <v>36498.47</v>
      </c>
    </row>
    <row r="12" spans="1:22" ht="30" x14ac:dyDescent="0.25">
      <c r="O12" s="30" t="s">
        <v>1577</v>
      </c>
    </row>
    <row r="17" spans="15:15" ht="30" x14ac:dyDescent="0.25">
      <c r="O17" s="30" t="s">
        <v>1587</v>
      </c>
    </row>
    <row r="18" spans="15:15" ht="409.5" x14ac:dyDescent="0.25">
      <c r="O18" s="30" t="s">
        <v>1588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402B-8D88-4D55-8DEF-B585CAF941C2}">
  <dimension ref="A1:D11"/>
  <sheetViews>
    <sheetView workbookViewId="0">
      <selection activeCell="C17" sqref="C17"/>
    </sheetView>
  </sheetViews>
  <sheetFormatPr defaultRowHeight="15" x14ac:dyDescent="0.25"/>
  <cols>
    <col min="1" max="1" width="24.5703125" bestFit="1" customWidth="1"/>
    <col min="2" max="2" width="16.5703125" bestFit="1" customWidth="1"/>
    <col min="3" max="3" width="20" bestFit="1" customWidth="1"/>
  </cols>
  <sheetData>
    <row r="1" spans="1:4" ht="23.25" x14ac:dyDescent="0.35">
      <c r="A1" s="34" t="s">
        <v>1578</v>
      </c>
      <c r="B1" s="34"/>
      <c r="C1" s="34"/>
      <c r="D1" s="34"/>
    </row>
    <row r="2" spans="1:4" x14ac:dyDescent="0.25">
      <c r="A2" s="33" t="s">
        <v>1579</v>
      </c>
      <c r="B2" s="33"/>
      <c r="C2" s="33"/>
      <c r="D2" s="33"/>
    </row>
    <row r="4" spans="1:4" x14ac:dyDescent="0.25">
      <c r="A4" s="35" t="s">
        <v>1580</v>
      </c>
      <c r="B4" s="35" t="s">
        <v>1581</v>
      </c>
      <c r="C4" s="35" t="s">
        <v>1582</v>
      </c>
    </row>
    <row r="5" spans="1:4" x14ac:dyDescent="0.25">
      <c r="A5" s="36" t="s">
        <v>13</v>
      </c>
      <c r="B5" s="37">
        <f>SUMIFS(Personal_Finance_Dataset[Amount],Personal_Finance_Dataset[Year],2023,Personal_Finance_Dataset[Type],"Income",Personal_Finance_Dataset[Category],"Investment")</f>
        <v>104075</v>
      </c>
      <c r="C5" s="38">
        <f>B5/SUM($B$5:$B$6)</f>
        <v>0.5512096688769782</v>
      </c>
    </row>
    <row r="6" spans="1:4" x14ac:dyDescent="0.25">
      <c r="A6" s="36" t="s">
        <v>20</v>
      </c>
      <c r="B6" s="37">
        <f>SUMIFS(Personal_Finance_Dataset[Amount],Personal_Finance_Dataset[Year],2023,Personal_Finance_Dataset[Type],"Income",Personal_Finance_Dataset[Category],"Other")</f>
        <v>84737</v>
      </c>
      <c r="C6" s="38">
        <f>B6/SUM($B$5:$B$6)</f>
        <v>0.44879033112302186</v>
      </c>
    </row>
    <row r="7" spans="1:4" x14ac:dyDescent="0.25">
      <c r="A7" s="39" t="s">
        <v>1583</v>
      </c>
      <c r="B7" s="40">
        <f>SUM(B5:B6)</f>
        <v>188812</v>
      </c>
      <c r="C7" s="41">
        <f>SUM(C5:C6)</f>
        <v>1</v>
      </c>
    </row>
    <row r="9" spans="1:4" x14ac:dyDescent="0.25">
      <c r="A9" s="42" t="s">
        <v>1584</v>
      </c>
      <c r="B9" s="42" t="s">
        <v>3</v>
      </c>
    </row>
    <row r="10" spans="1:4" x14ac:dyDescent="0.25">
      <c r="A10" s="36" t="s">
        <v>1585</v>
      </c>
      <c r="B10" s="43">
        <f>_xlfn.XLOOKUP(2023,Annual_Income_Table[Year],Annual_Income_Table[Annual Income])</f>
        <v>188812</v>
      </c>
    </row>
    <row r="11" spans="1:4" x14ac:dyDescent="0.25">
      <c r="A11" s="44" t="s">
        <v>1586</v>
      </c>
      <c r="B11" s="45">
        <f>B7-B10</f>
        <v>0</v>
      </c>
    </row>
  </sheetData>
  <mergeCells count="2">
    <mergeCell ref="A1:D1"/>
    <mergeCell ref="A2:D2"/>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FE61E2-6120-470D-9607-94DDBC8632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Income</vt:lpstr>
      <vt:lpstr>Expenses</vt:lpstr>
      <vt:lpstr>Summary</vt:lpstr>
      <vt:lpstr>expense annual</vt:lpstr>
      <vt:lpstr>expense monthly</vt:lpstr>
      <vt:lpstr>income vs expense</vt:lpstr>
      <vt:lpstr>types of expenses</vt:lpstr>
      <vt:lpstr>annual income</vt:lpstr>
      <vt:lpstr>income source</vt:lpstr>
      <vt:lpstr>monthly income</vt:lpstr>
      <vt:lpstr>investment</vt:lpstr>
      <vt:lpstr>2023</vt:lpstr>
      <vt:lpstr>2023 income 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Aiden Tsui</cp:lastModifiedBy>
  <cp:revision/>
  <dcterms:created xsi:type="dcterms:W3CDTF">2026-07-14T03:36:50Z</dcterms:created>
  <dcterms:modified xsi:type="dcterms:W3CDTF">2026-07-22T00:33:09Z</dcterms:modified>
  <cp:category/>
  <cp:contentStatus/>
</cp:coreProperties>
</file>